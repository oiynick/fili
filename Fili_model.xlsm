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09" codeName="{51196F13-6AD0-C1B8-E2B4-A1F9AE17003E}"/>
  <workbookPr codeName="ThisWorkbook"/>
  <mc:AlternateContent xmlns:mc="http://schemas.openxmlformats.org/markup-compatibility/2006">
    <mc:Choice Requires="x15">
      <x15ac:absPath xmlns:x15ac="http://schemas.microsoft.com/office/spreadsheetml/2010/11/ac" url="/Users/nikitaveliev/Desktop/"/>
    </mc:Choice>
  </mc:AlternateContent>
  <xr:revisionPtr revIDLastSave="0" documentId="13_ncr:1_{F818A833-3136-AD48-B4BE-047452704950}" xr6:coauthVersionLast="43" xr6:coauthVersionMax="43" xr10:uidLastSave="{00000000-0000-0000-0000-000000000000}"/>
  <bookViews>
    <workbookView xWindow="4820" yWindow="2380" windowWidth="21800" windowHeight="13100" activeTab="2" xr2:uid="{00000000-000D-0000-FFFF-FFFF00000000}"/>
  </bookViews>
  <sheets>
    <sheet name="option_1" sheetId="16" r:id="rId1"/>
    <sheet name="Parameters" sheetId="15" r:id="rId2"/>
    <sheet name="Input" sheetId="1" r:id="rId3"/>
    <sheet name="Process" sheetId="3" r:id="rId4"/>
    <sheet name="Output" sheetId="4" r:id="rId5"/>
    <sheet name=" Interactive" sheetId="7" r:id="rId6"/>
    <sheet name="Additionals" sheetId="6" state="hidden" r:id="rId7"/>
  </sheets>
  <definedNames>
    <definedName name="AD">Parameters!$G$12</definedName>
    <definedName name="AD.AI">Parameters!$G$20</definedName>
    <definedName name="AD.AI.II">Parameters!$G$21</definedName>
    <definedName name="AD.CT">Parameters!$G$22</definedName>
    <definedName name="AD.CT.II">Parameters!$G$23</definedName>
    <definedName name="AD.EB">Parameters!$G$24</definedName>
    <definedName name="AD.EB.II">Parameters!$G$25</definedName>
    <definedName name="AD.ERI">Parameters!$G$13</definedName>
    <definedName name="AD.ES">Parameters!$G$26</definedName>
    <definedName name="AD.ES.II">Parameters!$G$27</definedName>
    <definedName name="AD.FM">Parameters!$G$15</definedName>
    <definedName name="AD.FRI">Parameters!$G$14</definedName>
    <definedName name="AD.HRI">Parameters!$G$16</definedName>
    <definedName name="AD.O">Parameters!$G$28</definedName>
    <definedName name="AD.O.II">Parameters!$G$29</definedName>
    <definedName name="AD.ORI">Parameters!$G$17</definedName>
    <definedName name="AD.OTH">Parameters!$G$30</definedName>
    <definedName name="AD.OTH.II">Parameters!$G$31</definedName>
    <definedName name="AD.PRI">Parameters!$G$18</definedName>
    <definedName name="AD.R">Parameters!$G$32</definedName>
    <definedName name="AD.R.II">Parameters!$G$33</definedName>
    <definedName name="AD.SRI">Parameters!$G$19</definedName>
    <definedName name="AI">Parameters!$G$10</definedName>
    <definedName name="AI.II">Parameters!$G$11</definedName>
    <definedName name="CT">Parameters!$G$34</definedName>
    <definedName name="CT.II">Parameters!$G$35</definedName>
    <definedName name="EB">Parameters!$G$36</definedName>
    <definedName name="EB.II">Parameters!$G$37</definedName>
    <definedName name="ES">Parameters!$G$60</definedName>
    <definedName name="ES.AI">Parameters!$G$46</definedName>
    <definedName name="ES.AI.II">Parameters!$G$47</definedName>
    <definedName name="ES.CT">Parameters!$G$48</definedName>
    <definedName name="ES.CT.II">Parameters!$G$49</definedName>
    <definedName name="ES.EB">Parameters!$G$50</definedName>
    <definedName name="ES.EB.II">Parameters!$G$51</definedName>
    <definedName name="ES.ERI">Parameters!$G$39</definedName>
    <definedName name="ES.ES">Parameters!$G$52</definedName>
    <definedName name="ES.ES.II">Parameters!$G$53</definedName>
    <definedName name="ES.FM">Parameters!$G$41</definedName>
    <definedName name="ES.FRI">Parameters!$G$40</definedName>
    <definedName name="ES.HRI">Parameters!$G$42</definedName>
    <definedName name="ES.II">Parameters!$G$61</definedName>
    <definedName name="ES.O">Parameters!$G$54</definedName>
    <definedName name="ES.O.II">Parameters!$G$55</definedName>
    <definedName name="ES.ORI">Parameters!$G$43</definedName>
    <definedName name="ES.OTH">Parameters!$G$56</definedName>
    <definedName name="ES.OTH.II">Parameters!$G$57</definedName>
    <definedName name="ES.PRI">Parameters!$G$44</definedName>
    <definedName name="ES.R">Parameters!$G$58</definedName>
    <definedName name="ES.R.II">Parameters!$G$59</definedName>
    <definedName name="ES.SRI">Parameters!$G$45</definedName>
    <definedName name="FG">Parameters!$G$68</definedName>
    <definedName name="FG.AI">Parameters!$G$76</definedName>
    <definedName name="FG.AI.II">Parameters!$G$77</definedName>
    <definedName name="FG.CT">Parameters!$G$78</definedName>
    <definedName name="FG.CT.II">Parameters!$G$79</definedName>
    <definedName name="FG.EB">Parameters!$G$80</definedName>
    <definedName name="FG.EB.II">Parameters!$G$81</definedName>
    <definedName name="FG.ERI">Parameters!$G$69</definedName>
    <definedName name="FG.ES">Parameters!$G$82</definedName>
    <definedName name="FG.ES.II">Parameters!$G$83</definedName>
    <definedName name="FG.FM">Parameters!$G$71</definedName>
    <definedName name="FG.FRI">Parameters!$G$70</definedName>
    <definedName name="FG.HRI">Parameters!$G$72</definedName>
    <definedName name="FG.O">Parameters!$G$84</definedName>
    <definedName name="FG.O.II">Parameters!$G$85</definedName>
    <definedName name="FG.ORI">Parameters!$G$73</definedName>
    <definedName name="FG.OTH">Parameters!$G$86</definedName>
    <definedName name="FG.OTH.II">Parameters!$G$87</definedName>
    <definedName name="FG.PRI">Parameters!$G$74</definedName>
    <definedName name="FG.R">Parameters!$G$88</definedName>
    <definedName name="FG.R.II">Parameters!$G$89</definedName>
    <definedName name="FG.SRI">Parameters!$G$75</definedName>
    <definedName name="FinDistrib">Parameters!$G$62</definedName>
    <definedName name="FinDistrib.AD">Parameters!$G$63</definedName>
    <definedName name="FinDistrib.AD.AI\II\\option_1">option_1!$D$21</definedName>
    <definedName name="FinDistrib.AD.AI\option_1">option_1!$D$20</definedName>
    <definedName name="FinDistrib.AD.CT\II\\option_1">option_1!$D$23</definedName>
    <definedName name="FinDistrib.AD.CT\option_1">option_1!$D$22</definedName>
    <definedName name="FinDistrib.AD.EB\II\\option_1">option_1!$D$25</definedName>
    <definedName name="FinDistrib.AD.EB\option_1">option_1!$D$24</definedName>
    <definedName name="FinDistrib.AD.ES\II\\option_1">option_1!$D$27</definedName>
    <definedName name="FinDistrib.AD.ES\option_1">option_1!$D$26</definedName>
    <definedName name="FinDistrib.AD.O\II\\option_1">option_1!$D$29</definedName>
    <definedName name="FinDistrib.AD.O\option_1">option_1!$D$28</definedName>
    <definedName name="FinDistrib.AD.OTH\II\\option_1">option_1!$D$31</definedName>
    <definedName name="FinDistrib.AD.OTH\option_1">option_1!$D$30</definedName>
    <definedName name="FinDistrib.AD.R\II\\option_1">option_1!$D$33</definedName>
    <definedName name="FinDistrib.AD.R\option_1">option_1!$D$32</definedName>
    <definedName name="FinDistrib.AD\ERI\\option_1">option_1!$D$13</definedName>
    <definedName name="FinDistrib.AD\FM\\option_1">option_1!$D$14</definedName>
    <definedName name="FinDistrib.AD\FRI\\option_1">option_1!$D$15</definedName>
    <definedName name="FinDistrib.AD\HRI\\option_1">option_1!$D$16</definedName>
    <definedName name="FinDistrib.AD\option_1">option_1!$D$12</definedName>
    <definedName name="FinDistrib.AD\ORI\\option_1">option_1!$D$17</definedName>
    <definedName name="FinDistrib.AD\PRI\\option_1">option_1!$D$18</definedName>
    <definedName name="FinDistrib.AD\SRI\\option_1">option_1!$D$19</definedName>
    <definedName name="FinDistrib.ES">Parameters!$G$64</definedName>
    <definedName name="FinDistrib.ES.AI\II\\option_1">option_1!$D$43</definedName>
    <definedName name="FinDistrib.ES.AI\option_1">option_1!$D$42</definedName>
    <definedName name="FinDistrib.ES.CT\II\\option_1">option_1!$D$45</definedName>
    <definedName name="FinDistrib.ES.CT\option_1">option_1!$D$44</definedName>
    <definedName name="FinDistrib.ES.EB\II\\option_1">option_1!$D$47</definedName>
    <definedName name="FinDistrib.ES.EB\option_1">option_1!$D$46</definedName>
    <definedName name="FinDistrib.ES.ES\II\\option_1">option_1!$D$49</definedName>
    <definedName name="FinDistrib.ES.ES\option_1">option_1!$D$48</definedName>
    <definedName name="FinDistrib.ES.O\II\\option_1">option_1!$D$51</definedName>
    <definedName name="FinDistrib.ES.O\option_1">option_1!$D$50</definedName>
    <definedName name="FinDistrib.ES.OTH\II\\option_1">option_1!$D$53</definedName>
    <definedName name="FinDistrib.ES.OTH\option_1">option_1!$D$52</definedName>
    <definedName name="FinDistrib.ES.R\II\\option_1">option_1!$D$55</definedName>
    <definedName name="FinDistrib.ES.R\option_1">option_1!$D$54</definedName>
    <definedName name="FinDistrib.ES\ERI\\option_1">option_1!$D$35</definedName>
    <definedName name="FinDistrib.ES\FM\\option_1">option_1!$D$36</definedName>
    <definedName name="FinDistrib.ES\FRI\\option_1">option_1!$D$37</definedName>
    <definedName name="FinDistrib.ES\HRI\\option_1">option_1!$D$38</definedName>
    <definedName name="FinDistrib.ES\option_1">option_1!$D$34</definedName>
    <definedName name="FinDistrib.ES\ORI\\option_1">option_1!$D$39</definedName>
    <definedName name="FinDistrib.ES\PRI\\option_1">option_1!$D$40</definedName>
    <definedName name="FinDistrib.ES\SRI\\option_1">option_1!$D$41</definedName>
    <definedName name="FinDistrib.FG">Parameters!$G$65</definedName>
    <definedName name="FinDistrib.FG.AI\II\\option_1">option_1!$D$65</definedName>
    <definedName name="FinDistrib.FG.AI\option_1">option_1!$D$64</definedName>
    <definedName name="FinDistrib.FG.CT\II\\option_1">option_1!$D$67</definedName>
    <definedName name="FinDistrib.FG.CT\option_1">option_1!$D$66</definedName>
    <definedName name="FinDistrib.FG.EB\II\\option_1">option_1!$D$69</definedName>
    <definedName name="FinDistrib.FG.EB\option_1">option_1!$D$68</definedName>
    <definedName name="FinDistrib.FG.ES\II\\option_1">option_1!$D$71</definedName>
    <definedName name="FinDistrib.FG.ES\option_1">option_1!$D$70</definedName>
    <definedName name="FinDistrib.FG.O\II\\option_1">option_1!$D$73</definedName>
    <definedName name="FinDistrib.FG.O\option_1">option_1!$D$72</definedName>
    <definedName name="FinDistrib.FG.OTH\II\\option_1">option_1!$D$75</definedName>
    <definedName name="FinDistrib.FG.OTH\option_1">option_1!$D$74</definedName>
    <definedName name="FinDistrib.FG.R\II\\option_1">option_1!$D$77</definedName>
    <definedName name="FinDistrib.FG.R\option_1">option_1!$D$76</definedName>
    <definedName name="FinDistrib.FG\ERI\\option_1">option_1!$D$57</definedName>
    <definedName name="FinDistrib.FG\FM\\option_1">option_1!$D$58</definedName>
    <definedName name="FinDistrib.FG\FRI\\option_1">option_1!$D$59</definedName>
    <definedName name="FinDistrib.FG\HRI\\option_1">option_1!$D$60</definedName>
    <definedName name="FinDistrib.FG\option_1">option_1!$D$56</definedName>
    <definedName name="FinDistrib.FG\ORI\\option_1">option_1!$D$61</definedName>
    <definedName name="FinDistrib.FG\PRI\\option_1">option_1!$D$62</definedName>
    <definedName name="FinDistrib.FG\SRI\\option_1">option_1!$D$63</definedName>
    <definedName name="FinDistrib.NT">Parameters!$G$66</definedName>
    <definedName name="FinDistrib.NT.AI\II\\option_1">option_1!$D$87</definedName>
    <definedName name="FinDistrib.NT.AI\option_1">option_1!$D$86</definedName>
    <definedName name="FinDistrib.NT.CT\II\\option_1">option_1!$D$89</definedName>
    <definedName name="FinDistrib.NT.CT\option_1">option_1!$D$88</definedName>
    <definedName name="FinDistrib.NT.EB\II\\option_1">option_1!$D$91</definedName>
    <definedName name="FinDistrib.NT.EB\option_1">option_1!$D$90</definedName>
    <definedName name="FinDistrib.NT.ES\II\\option_1">option_1!$D$93</definedName>
    <definedName name="FinDistrib.NT.ES\option_1">option_1!$D$92</definedName>
    <definedName name="FinDistrib.NT.O\II\\option_1">option_1!$D$95</definedName>
    <definedName name="FinDistrib.NT.O\option_1">option_1!$D$94</definedName>
    <definedName name="FinDistrib.NT.OTH\II\\option_1">option_1!$D$97</definedName>
    <definedName name="FinDistrib.NT.OTH\option_1">option_1!$D$96</definedName>
    <definedName name="FinDistrib.NT.R\II\\option_1">option_1!$D$99</definedName>
    <definedName name="FinDistrib.NT.R\option_1">option_1!$D$98</definedName>
    <definedName name="FinDistrib.NT\ERI\\option_1">option_1!$D$79</definedName>
    <definedName name="FinDistrib.NT\FM\\option_1">option_1!$D$80</definedName>
    <definedName name="FinDistrib.NT\FRI\\option_1">option_1!$D$81</definedName>
    <definedName name="FinDistrib.NT\HRI\\option_1">option_1!$D$82</definedName>
    <definedName name="FinDistrib.NT\option_1">option_1!$D$78</definedName>
    <definedName name="FinDistrib.NT\ORI\\option_1">option_1!$D$83</definedName>
    <definedName name="FinDistrib.NT\PRI\\option_1">option_1!$D$84</definedName>
    <definedName name="FinDistrib.NT\SRI\\option_1">option_1!$D$85</definedName>
    <definedName name="FinDistrib.OC">Parameters!$G$67</definedName>
    <definedName name="FinDistrib.OC.AI\II\\option_1">option_1!$D$109</definedName>
    <definedName name="FinDistrib.OC.AI\option_1">option_1!$D$108</definedName>
    <definedName name="FinDistrib.OC.CT\II\\option_1">option_1!$D$111</definedName>
    <definedName name="FinDistrib.OC.CT\option_1">option_1!$D$110</definedName>
    <definedName name="FinDistrib.OC.EB\II\\option_1">option_1!$D$113</definedName>
    <definedName name="FinDistrib.OC.EB\option_1">option_1!$D$112</definedName>
    <definedName name="FinDistrib.OC.ES\II\\option_1">option_1!$D$115</definedName>
    <definedName name="FinDistrib.OC.ES\option_1">option_1!$D$114</definedName>
    <definedName name="FinDistrib.OC.O\II\\option_1">option_1!$D$117</definedName>
    <definedName name="FinDistrib.OC.O\option_1">option_1!$D$116</definedName>
    <definedName name="FinDistrib.OC.OTH\II\\option_1">option_1!$D$119</definedName>
    <definedName name="FinDistrib.OC.OTH\option_1">option_1!$D$118</definedName>
    <definedName name="FinDistrib.OC.R\II\\option_1">option_1!$D$121</definedName>
    <definedName name="FinDistrib.OC.R\option_1">option_1!$D$120</definedName>
    <definedName name="FinDistrib.OC\ERI\\option_1">option_1!$D$101</definedName>
    <definedName name="FinDistrib.OC\FM\\option_1">option_1!$D$102</definedName>
    <definedName name="FinDistrib.OC\FRI\\option_1">option_1!$D$103</definedName>
    <definedName name="FinDistrib.OC\HRI\\option_1">option_1!$D$104</definedName>
    <definedName name="FinDistrib.OC\option_1">option_1!$D$100</definedName>
    <definedName name="FinDistrib.OC\ORI\\option_1">option_1!$D$105</definedName>
    <definedName name="FinDistrib.OC\PRI\\option_1">option_1!$D$106</definedName>
    <definedName name="FinDistrib.OC\SRI\\option_1">option_1!$D$107</definedName>
    <definedName name="FinDistrib\option_1">option_1!$D$11</definedName>
    <definedName name="Header">option_1!$A$1:$I$7</definedName>
    <definedName name="NT">Parameters!$G$90</definedName>
    <definedName name="NT.AI">Parameters!$G$98</definedName>
    <definedName name="NT.AI.II">Parameters!$G$99</definedName>
    <definedName name="NT.CT">Parameters!$G$100</definedName>
    <definedName name="NT.CT.II">Parameters!$G$101</definedName>
    <definedName name="NT.EB">Parameters!$G$102</definedName>
    <definedName name="NT.EB.II">Parameters!$G$103</definedName>
    <definedName name="NT.ERI">Parameters!$G$91</definedName>
    <definedName name="NT.ES">Parameters!$G$104</definedName>
    <definedName name="NT.ES.II">Parameters!$G$105</definedName>
    <definedName name="NT.FM">Parameters!$G$93</definedName>
    <definedName name="NT.FRI">Parameters!$G$92</definedName>
    <definedName name="NT.HRI">Parameters!$G$94</definedName>
    <definedName name="NT.O">Parameters!$G$106</definedName>
    <definedName name="NT.O.II">Parameters!$G$107</definedName>
    <definedName name="NT.ORI">Parameters!$G$95</definedName>
    <definedName name="NT.OTH">Parameters!$G$108</definedName>
    <definedName name="NT.OTH.II">Parameters!$G$109</definedName>
    <definedName name="NT.PRI">Parameters!$G$96</definedName>
    <definedName name="NT.R">Parameters!$G$110</definedName>
    <definedName name="NT.R.II">Parameters!$G$111</definedName>
    <definedName name="NT.SRI">Parameters!$G$97</definedName>
    <definedName name="O">Parameters!$G$112</definedName>
    <definedName name="O.II">Parameters!$G$113</definedName>
    <definedName name="OC">Parameters!$G$114</definedName>
    <definedName name="OC.AI">Parameters!$G$122</definedName>
    <definedName name="OC.AI.II">Parameters!$G$123</definedName>
    <definedName name="OC.CT">Parameters!$G$124</definedName>
    <definedName name="OC.CT.II">Parameters!$G$125</definedName>
    <definedName name="OC.EB">Parameters!$G$126</definedName>
    <definedName name="OC.EB.II">Parameters!$G$127</definedName>
    <definedName name="OC.ERI">Parameters!$G$115</definedName>
    <definedName name="OC.ES">Parameters!$G$128</definedName>
    <definedName name="OC.ES.II">Parameters!$G$129</definedName>
    <definedName name="OC.FM">Parameters!$G$117</definedName>
    <definedName name="OC.FRI">Parameters!$G$116</definedName>
    <definedName name="OC.HRI">Parameters!$G$118</definedName>
    <definedName name="OC.O">Parameters!$G$130</definedName>
    <definedName name="OC.O.II">Parameters!$G$131</definedName>
    <definedName name="OC.ORI">Parameters!$G$119</definedName>
    <definedName name="OC.OTH">Parameters!$G$132</definedName>
    <definedName name="OC.OTH.II">Parameters!$G$133</definedName>
    <definedName name="OC.PRI">Parameters!$G$120</definedName>
    <definedName name="OC.R">Parameters!$G$134</definedName>
    <definedName name="OC.R.II">Parameters!$G$135</definedName>
    <definedName name="OC.SRI">Parameters!$G$121</definedName>
    <definedName name="OLE_LINK1" localSheetId="4">Output!$O$23</definedName>
    <definedName name="OTH">Parameters!$G$136</definedName>
    <definedName name="OTH.II">Parameters!$G$137</definedName>
    <definedName name="Parameters">Parameters!$A$8:$M$139</definedName>
    <definedName name="R_">Parameters!$G$138</definedName>
    <definedName name="R.II">Parameters!$G$139</definedName>
    <definedName name="solver_adj" localSheetId="5" hidden="1">' Interactive'!$C$5:$I$9,' Interactive'!$C$16:$I$18</definedName>
    <definedName name="solver_adj" localSheetId="3" hidden="1">Process!$C$5:$I$9,Process!$C$16:$I$18</definedName>
    <definedName name="solver_cvg" localSheetId="5" hidden="1">0.0001</definedName>
    <definedName name="solver_cvg" localSheetId="3" hidden="1">0.000001</definedName>
    <definedName name="solver_drv" localSheetId="5" hidden="1">2</definedName>
    <definedName name="solver_drv" localSheetId="3" hidden="1">1</definedName>
    <definedName name="solver_eng" localSheetId="5" hidden="1">1</definedName>
    <definedName name="solver_eng" localSheetId="2" hidden="1">1</definedName>
    <definedName name="solver_eng" localSheetId="4" hidden="1">1</definedName>
    <definedName name="solver_eng" localSheetId="3" hidden="1">1</definedName>
    <definedName name="solver_est" localSheetId="5" hidden="1">1</definedName>
    <definedName name="solver_est" localSheetId="3" hidden="1">1</definedName>
    <definedName name="solver_itr" localSheetId="5" hidden="1">2147483647</definedName>
    <definedName name="solver_itr" localSheetId="3" hidden="1">2147483647</definedName>
    <definedName name="solver_lhs0" localSheetId="3" hidden="1">Process!$J$7</definedName>
    <definedName name="solver_lhs1" localSheetId="3" hidden="1">Process!$C$133</definedName>
    <definedName name="solver_lhs10" localSheetId="3" hidden="1">Process!$H$133</definedName>
    <definedName name="solver_lhs11" localSheetId="3" hidden="1">Process!$I$133</definedName>
    <definedName name="solver_lhs12" localSheetId="3" hidden="1">Process!$K$118</definedName>
    <definedName name="solver_lhs13" localSheetId="3" hidden="1">Process!$K$120</definedName>
    <definedName name="solver_lhs14" localSheetId="3" hidden="1">Process!$K$119</definedName>
    <definedName name="solver_lhs15" localSheetId="3" hidden="1">Process!$I$134</definedName>
    <definedName name="solver_lhs16" localSheetId="3" hidden="1">Process!$K$122</definedName>
    <definedName name="solver_lhs17" localSheetId="3" hidden="1">Process!$K$121</definedName>
    <definedName name="solver_lhs18" localSheetId="3" hidden="1">Process!$K$120</definedName>
    <definedName name="solver_lhs19" localSheetId="3" hidden="1">Process!$K$120</definedName>
    <definedName name="solver_lhs2" localSheetId="3" hidden="1">Process!$C$16:$I$18</definedName>
    <definedName name="solver_lhs20" localSheetId="3" hidden="1">Process!$K$120</definedName>
    <definedName name="solver_lhs21" localSheetId="3" hidden="1">Process!$K$120</definedName>
    <definedName name="solver_lhs22" localSheetId="3" hidden="1">Process!$K$120</definedName>
    <definedName name="solver_lhs23" localSheetId="3" hidden="1">Process!$K$122</definedName>
    <definedName name="solver_lhs24" localSheetId="3" hidden="1">Process!$K$122</definedName>
    <definedName name="solver_lhs25" localSheetId="3" hidden="1">Process!$K$122</definedName>
    <definedName name="solver_lhs26" localSheetId="3" hidden="1">Process!$K$120</definedName>
    <definedName name="solver_lhs27" localSheetId="3" hidden="1">Process!$K$121</definedName>
    <definedName name="solver_lhs3" localSheetId="3" hidden="1">Process!$C$5:$I$9</definedName>
    <definedName name="solver_lhs4" localSheetId="3" hidden="1">Process!$D$133</definedName>
    <definedName name="solver_lhs5" localSheetId="3" hidden="1">Process!$E$133</definedName>
    <definedName name="solver_lhs6" localSheetId="3" hidden="1">Process!$F$133</definedName>
    <definedName name="solver_lhs7" localSheetId="3" hidden="1">Process!$C$134</definedName>
    <definedName name="solver_lhs8" localSheetId="3" hidden="1">Process!$F$134</definedName>
    <definedName name="solver_lhs9" localSheetId="3" hidden="1">Process!$G$133</definedName>
    <definedName name="solver_mip" localSheetId="5" hidden="1">2147483647</definedName>
    <definedName name="solver_mip" localSheetId="3" hidden="1">2147483647</definedName>
    <definedName name="solver_mni" localSheetId="5" hidden="1">30</definedName>
    <definedName name="solver_mni" localSheetId="3" hidden="1">30</definedName>
    <definedName name="solver_mrt" localSheetId="5" hidden="1">0.075</definedName>
    <definedName name="solver_mrt" localSheetId="3" hidden="1">0.075</definedName>
    <definedName name="solver_msl" localSheetId="5" hidden="1">2</definedName>
    <definedName name="solver_msl" localSheetId="3" hidden="1">2</definedName>
    <definedName name="solver_neg" localSheetId="5" hidden="1">1</definedName>
    <definedName name="solver_neg" localSheetId="2" hidden="1">1</definedName>
    <definedName name="solver_neg" localSheetId="4" hidden="1">1</definedName>
    <definedName name="solver_neg" localSheetId="3" hidden="1">2</definedName>
    <definedName name="solver_nod" localSheetId="5" hidden="1">2147483647</definedName>
    <definedName name="solver_nod" localSheetId="3" hidden="1">2147483647</definedName>
    <definedName name="solver_num" localSheetId="5" hidden="1">0</definedName>
    <definedName name="solver_num" localSheetId="2" hidden="1">0</definedName>
    <definedName name="solver_num" localSheetId="4" hidden="1">0</definedName>
    <definedName name="solver_num" localSheetId="3" hidden="1">17</definedName>
    <definedName name="solver_nwt" localSheetId="5" hidden="1">1</definedName>
    <definedName name="solver_nwt" localSheetId="3" hidden="1">1</definedName>
    <definedName name="solver_opt" localSheetId="5" hidden="1">' Interactive'!$J$96</definedName>
    <definedName name="solver_opt" localSheetId="4" hidden="1">Output!$D$24</definedName>
    <definedName name="solver_opt" localSheetId="3" hidden="1">Process!$J$96</definedName>
    <definedName name="solver_pre" localSheetId="5" hidden="1">0.000001</definedName>
    <definedName name="solver_pre" localSheetId="3" hidden="1">0.0000001</definedName>
    <definedName name="solver_rbv" localSheetId="5" hidden="1">2</definedName>
    <definedName name="solver_rbv" localSheetId="3" hidden="1">1</definedName>
    <definedName name="solver_rel0" localSheetId="3" hidden="1">2</definedName>
    <definedName name="solver_rel1" localSheetId="3" hidden="1">2</definedName>
    <definedName name="solver_rel10" localSheetId="3" hidden="1">2</definedName>
    <definedName name="solver_rel11" localSheetId="3" hidden="1">2</definedName>
    <definedName name="solver_rel12" localSheetId="3" hidden="1">2</definedName>
    <definedName name="solver_rel13" localSheetId="3" hidden="1">2</definedName>
    <definedName name="solver_rel14" localSheetId="3" hidden="1">2</definedName>
    <definedName name="solver_rel15" localSheetId="3" hidden="1">2</definedName>
    <definedName name="solver_rel16" localSheetId="3" hidden="1">2</definedName>
    <definedName name="solver_rel17" localSheetId="3" hidden="1">2</definedName>
    <definedName name="solver_rel18" localSheetId="3" hidden="1">2</definedName>
    <definedName name="solver_rel19" localSheetId="3" hidden="1">2</definedName>
    <definedName name="solver_rel2" localSheetId="3" hidden="1">3</definedName>
    <definedName name="solver_rel20" localSheetId="3" hidden="1">2</definedName>
    <definedName name="solver_rel21" localSheetId="3" hidden="1">2</definedName>
    <definedName name="solver_rel22" localSheetId="3" hidden="1">2</definedName>
    <definedName name="solver_rel23" localSheetId="3" hidden="1">2</definedName>
    <definedName name="solver_rel24" localSheetId="3" hidden="1">2</definedName>
    <definedName name="solver_rel25" localSheetId="3" hidden="1">1</definedName>
    <definedName name="solver_rel26" localSheetId="3" hidden="1">1</definedName>
    <definedName name="solver_rel27" localSheetId="3" hidden="1">1</definedName>
    <definedName name="solver_rel3" localSheetId="3" hidden="1">3</definedName>
    <definedName name="solver_rel4" localSheetId="3" hidden="1">2</definedName>
    <definedName name="solver_rel5" localSheetId="3" hidden="1">2</definedName>
    <definedName name="solver_rel6" localSheetId="3" hidden="1">2</definedName>
    <definedName name="solver_rel7" localSheetId="3" hidden="1">2</definedName>
    <definedName name="solver_rel8" localSheetId="3" hidden="1">2</definedName>
    <definedName name="solver_rel9" localSheetId="3" hidden="1">2</definedName>
    <definedName name="solver_rhs0" localSheetId="3" hidden="1">100</definedName>
    <definedName name="solver_rhs1" localSheetId="3" hidden="1">Process!$C$123</definedName>
    <definedName name="solver_rhs10" localSheetId="3" hidden="1">Process!$H$123</definedName>
    <definedName name="solver_rhs11" localSheetId="3" hidden="1">Process!$I$123</definedName>
    <definedName name="solver_rhs12" localSheetId="3" hidden="1">Process!$J$108</definedName>
    <definedName name="solver_rhs13" localSheetId="3" hidden="1">Process!$J$110</definedName>
    <definedName name="solver_rhs14" localSheetId="3" hidden="1">Process!$J$109</definedName>
    <definedName name="solver_rhs15" localSheetId="3" hidden="1">0</definedName>
    <definedName name="solver_rhs16" localSheetId="3" hidden="1">Process!$J$112</definedName>
    <definedName name="solver_rhs17" localSheetId="3" hidden="1">Process!$J$111</definedName>
    <definedName name="solver_rhs18" localSheetId="3" hidden="1">Process!$J$110</definedName>
    <definedName name="solver_rhs19" localSheetId="3" hidden="1">Process!$J$110</definedName>
    <definedName name="solver_rhs2" localSheetId="3" hidden="1">0.0000000001</definedName>
    <definedName name="solver_rhs20" localSheetId="3" hidden="1">Process!$J$110</definedName>
    <definedName name="solver_rhs21" localSheetId="3" hidden="1">Process!$J$110</definedName>
    <definedName name="solver_rhs22" localSheetId="3" hidden="1">Process!$J$110</definedName>
    <definedName name="solver_rhs23" localSheetId="3" hidden="1">Process!$J$112</definedName>
    <definedName name="solver_rhs24" localSheetId="3" hidden="1">Process!$J$112</definedName>
    <definedName name="solver_rhs25" localSheetId="3" hidden="1">Process!$J$112</definedName>
    <definedName name="solver_rhs26" localSheetId="3" hidden="1">Process!$J$110</definedName>
    <definedName name="solver_rhs27" localSheetId="3" hidden="1">Process!$J$111</definedName>
    <definedName name="solver_rhs3" localSheetId="3" hidden="1">0.00000000001</definedName>
    <definedName name="solver_rhs4" localSheetId="3" hidden="1">Process!$D$123</definedName>
    <definedName name="solver_rhs5" localSheetId="3" hidden="1">Process!$E$123</definedName>
    <definedName name="solver_rhs6" localSheetId="3" hidden="1">Process!$F$123</definedName>
    <definedName name="solver_rhs7" localSheetId="3" hidden="1">0</definedName>
    <definedName name="solver_rhs8" localSheetId="3" hidden="1">0</definedName>
    <definedName name="solver_rhs9" localSheetId="3" hidden="1">Process!$G$123</definedName>
    <definedName name="solver_rlx" localSheetId="5" hidden="1">2</definedName>
    <definedName name="solver_rlx" localSheetId="3" hidden="1">2</definedName>
    <definedName name="solver_rsd" localSheetId="5" hidden="1">0</definedName>
    <definedName name="solver_rsd" localSheetId="3" hidden="1">0</definedName>
    <definedName name="solver_scl" localSheetId="5" hidden="1">2</definedName>
    <definedName name="solver_scl" localSheetId="3" hidden="1">1</definedName>
    <definedName name="solver_sho" localSheetId="5" hidden="1">2</definedName>
    <definedName name="solver_sho" localSheetId="3" hidden="1">2</definedName>
    <definedName name="solver_ssz" localSheetId="5" hidden="1">100</definedName>
    <definedName name="solver_ssz" localSheetId="3" hidden="1">100</definedName>
    <definedName name="solver_tim" localSheetId="5" hidden="1">2147483647</definedName>
    <definedName name="solver_tim" localSheetId="3" hidden="1">2147483647</definedName>
    <definedName name="solver_tol" localSheetId="5" hidden="1">0.01</definedName>
    <definedName name="solver_tol" localSheetId="3" hidden="1">0.01</definedName>
    <definedName name="solver_typ" localSheetId="5" hidden="1">1</definedName>
    <definedName name="solver_typ" localSheetId="2" hidden="1">1</definedName>
    <definedName name="solver_typ" localSheetId="4" hidden="1">1</definedName>
    <definedName name="solver_typ" localSheetId="3" hidden="1">1</definedName>
    <definedName name="solver_val" localSheetId="5" hidden="1">0</definedName>
    <definedName name="solver_val" localSheetId="2" hidden="1">0</definedName>
    <definedName name="solver_val" localSheetId="4" hidden="1">0</definedName>
    <definedName name="solver_val" localSheetId="3" hidden="1">0</definedName>
    <definedName name="solver_ver" localSheetId="5" hidden="1">3</definedName>
    <definedName name="solver_ver" localSheetId="2" hidden="1">3</definedName>
    <definedName name="solver_ver" localSheetId="4" hidden="1">3</definedName>
    <definedName name="solver_ver" localSheetId="3" hidden="1">3</definedName>
  </definedNames>
  <calcPr calcId="191029"/>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I21" i="1" l="1"/>
  <c r="H21" i="1"/>
  <c r="G21" i="1"/>
  <c r="F21" i="1"/>
  <c r="E21" i="1"/>
  <c r="D21" i="1"/>
  <c r="C21" i="1"/>
  <c r="I20" i="1"/>
  <c r="H20" i="1"/>
  <c r="G20" i="1"/>
  <c r="F20" i="1"/>
  <c r="E20" i="1"/>
  <c r="D20" i="1"/>
  <c r="C20" i="1"/>
  <c r="I19" i="1"/>
  <c r="H19" i="1"/>
  <c r="G19" i="1"/>
  <c r="F19" i="1"/>
  <c r="E19" i="1"/>
  <c r="D19" i="1"/>
  <c r="C19" i="1"/>
  <c r="I18" i="1"/>
  <c r="H18" i="1"/>
  <c r="G18" i="1"/>
  <c r="F18" i="1"/>
  <c r="E18" i="1"/>
  <c r="D18" i="1"/>
  <c r="C18" i="1"/>
  <c r="I17" i="1"/>
  <c r="H17" i="1"/>
  <c r="G17" i="1"/>
  <c r="F17" i="1"/>
  <c r="E17" i="1"/>
  <c r="D17" i="1"/>
  <c r="C17" i="1"/>
  <c r="I12" i="1"/>
  <c r="H12" i="1"/>
  <c r="G12" i="1"/>
  <c r="F12" i="1"/>
  <c r="E12" i="1"/>
  <c r="D12" i="1"/>
  <c r="C12" i="1"/>
  <c r="I11" i="1"/>
  <c r="H11" i="1"/>
  <c r="G11" i="1"/>
  <c r="F11" i="1"/>
  <c r="E11" i="1"/>
  <c r="D11" i="1"/>
  <c r="C11" i="1"/>
  <c r="I10" i="1"/>
  <c r="H10" i="1"/>
  <c r="G10" i="1"/>
  <c r="F10" i="1"/>
  <c r="E10" i="1"/>
  <c r="D10" i="1"/>
  <c r="C10" i="1"/>
  <c r="I9" i="1"/>
  <c r="H9" i="1"/>
  <c r="G9" i="1"/>
  <c r="F9" i="1"/>
  <c r="E9" i="1"/>
  <c r="D9" i="1"/>
  <c r="C9" i="1"/>
  <c r="I8" i="1"/>
  <c r="H8" i="1"/>
  <c r="G8" i="1"/>
  <c r="F8" i="1"/>
  <c r="E8" i="1"/>
  <c r="D8" i="1"/>
  <c r="C8" i="1"/>
  <c r="G139" i="15" l="1"/>
  <c r="G137" i="15"/>
  <c r="G135" i="15"/>
  <c r="G133" i="15"/>
  <c r="G131" i="15"/>
  <c r="G129" i="15"/>
  <c r="G127" i="15"/>
  <c r="G125" i="15"/>
  <c r="G123" i="15"/>
  <c r="G121" i="15"/>
  <c r="G120" i="15"/>
  <c r="G119" i="15"/>
  <c r="G118" i="15"/>
  <c r="G117" i="15"/>
  <c r="G116" i="15"/>
  <c r="G115" i="15"/>
  <c r="G113" i="15"/>
  <c r="G111" i="15"/>
  <c r="G109" i="15"/>
  <c r="G107" i="15"/>
  <c r="G105" i="15"/>
  <c r="G103" i="15"/>
  <c r="G101" i="15"/>
  <c r="G99" i="15"/>
  <c r="G97" i="15"/>
  <c r="G96" i="15"/>
  <c r="G95" i="15"/>
  <c r="G94" i="15"/>
  <c r="G93" i="15"/>
  <c r="G92" i="15"/>
  <c r="G91" i="15"/>
  <c r="G89" i="15"/>
  <c r="G87" i="15"/>
  <c r="G85" i="15"/>
  <c r="G83" i="15"/>
  <c r="G81" i="15"/>
  <c r="G79" i="15"/>
  <c r="G77" i="15"/>
  <c r="G75" i="15"/>
  <c r="G74" i="15"/>
  <c r="G73" i="15"/>
  <c r="G72" i="15"/>
  <c r="G71" i="15"/>
  <c r="G70" i="15"/>
  <c r="G69" i="15"/>
  <c r="G61" i="15"/>
  <c r="G59" i="15"/>
  <c r="G57" i="15"/>
  <c r="G55" i="15"/>
  <c r="G53" i="15"/>
  <c r="G51" i="15"/>
  <c r="G49" i="15"/>
  <c r="G47" i="15"/>
  <c r="G45" i="15"/>
  <c r="G44" i="15"/>
  <c r="G43" i="15"/>
  <c r="G42" i="15"/>
  <c r="G41" i="15"/>
  <c r="G40" i="15"/>
  <c r="G39" i="15"/>
  <c r="G37" i="15"/>
  <c r="G35" i="15"/>
  <c r="G33" i="15"/>
  <c r="G31" i="15"/>
  <c r="G29" i="15"/>
  <c r="G27" i="15"/>
  <c r="G25" i="15"/>
  <c r="G23" i="15"/>
  <c r="G21" i="15"/>
  <c r="G19" i="15"/>
  <c r="G18" i="15"/>
  <c r="G17" i="15"/>
  <c r="G16" i="15"/>
  <c r="G15" i="15"/>
  <c r="G14" i="15"/>
  <c r="G13" i="15"/>
  <c r="G11" i="15"/>
  <c r="B9" i="7" l="1"/>
  <c r="C26" i="1"/>
  <c r="C27" i="1"/>
  <c r="C25" i="1"/>
  <c r="A7" i="7"/>
  <c r="A8" i="7"/>
  <c r="A6" i="7"/>
  <c r="B45" i="4" l="1"/>
  <c r="B46" i="4"/>
  <c r="B44" i="4"/>
  <c r="B36" i="4"/>
  <c r="B37" i="4"/>
  <c r="B35" i="4"/>
  <c r="C2" i="4"/>
  <c r="C13" i="4" s="1"/>
  <c r="D24" i="4"/>
  <c r="D34" i="4" s="1"/>
  <c r="E24" i="4"/>
  <c r="E34" i="4" s="1"/>
  <c r="F24" i="4"/>
  <c r="F34" i="4" s="1"/>
  <c r="G24" i="4"/>
  <c r="G34" i="4" s="1"/>
  <c r="H24" i="4"/>
  <c r="H34" i="4" s="1"/>
  <c r="C24" i="4"/>
  <c r="C34" i="4" s="1"/>
  <c r="G13" i="4"/>
  <c r="E2" i="4"/>
  <c r="E13" i="4" s="1"/>
  <c r="D2" i="4"/>
  <c r="H13" i="4" s="1"/>
  <c r="E117" i="3"/>
  <c r="I107" i="3"/>
  <c r="E69" i="3"/>
  <c r="H69" i="3"/>
  <c r="C69" i="3"/>
  <c r="E59" i="3"/>
  <c r="F59" i="3"/>
  <c r="C50" i="3"/>
  <c r="C32" i="3"/>
  <c r="C15" i="3"/>
  <c r="D4" i="3"/>
  <c r="D90" i="3" s="1"/>
  <c r="E4" i="3"/>
  <c r="E129" i="3" s="1"/>
  <c r="F4" i="3"/>
  <c r="F69" i="3" s="1"/>
  <c r="G4" i="3"/>
  <c r="G90" i="3" s="1"/>
  <c r="H4" i="3"/>
  <c r="H90" i="3" s="1"/>
  <c r="C4" i="3"/>
  <c r="C129" i="3" s="1"/>
  <c r="B34" i="3"/>
  <c r="B35" i="3"/>
  <c r="B17" i="3"/>
  <c r="L17" i="3" s="1"/>
  <c r="B18" i="3"/>
  <c r="K141" i="3" s="1"/>
  <c r="B16" i="3"/>
  <c r="M141" i="3" s="1"/>
  <c r="B36" i="1"/>
  <c r="B35" i="1"/>
  <c r="B34" i="1"/>
  <c r="B33" i="1"/>
  <c r="B32" i="1"/>
  <c r="B21" i="1"/>
  <c r="B20" i="1"/>
  <c r="B19" i="1"/>
  <c r="B18" i="1"/>
  <c r="B17" i="1"/>
  <c r="B5" i="4"/>
  <c r="B26" i="4" s="1"/>
  <c r="B6" i="4"/>
  <c r="B27" i="4" s="1"/>
  <c r="B7" i="4"/>
  <c r="B28" i="4" s="1"/>
  <c r="B8" i="4"/>
  <c r="B29" i="4" s="1"/>
  <c r="B4" i="4"/>
  <c r="B25" i="4" s="1"/>
  <c r="B6" i="3"/>
  <c r="B109" i="3" s="1"/>
  <c r="B7" i="3"/>
  <c r="B110" i="3" s="1"/>
  <c r="B8" i="3"/>
  <c r="B44" i="3" s="1"/>
  <c r="B9" i="3"/>
  <c r="B45" i="3" s="1"/>
  <c r="B5" i="3"/>
  <c r="B24" i="3" s="1"/>
  <c r="C41" i="3"/>
  <c r="L69" i="3"/>
  <c r="D41" i="3"/>
  <c r="L68" i="3"/>
  <c r="D24" i="3"/>
  <c r="E41" i="3"/>
  <c r="E51" i="3" s="1"/>
  <c r="F41" i="3"/>
  <c r="F51" i="3" s="1"/>
  <c r="F24" i="3"/>
  <c r="G41" i="3"/>
  <c r="H41" i="3"/>
  <c r="H51" i="3" s="1"/>
  <c r="H24" i="3"/>
  <c r="I41" i="3"/>
  <c r="I51" i="3" s="1"/>
  <c r="C86" i="3"/>
  <c r="C78" i="3"/>
  <c r="C79" i="3"/>
  <c r="D86" i="3"/>
  <c r="D78" i="3" s="1"/>
  <c r="D79" i="3"/>
  <c r="E86" i="3"/>
  <c r="E78" i="3" s="1"/>
  <c r="E79" i="3"/>
  <c r="F78" i="3"/>
  <c r="F79" i="3"/>
  <c r="G86" i="3"/>
  <c r="G78" i="3" s="1"/>
  <c r="G79" i="3"/>
  <c r="H78" i="3"/>
  <c r="H79" i="3"/>
  <c r="I78" i="3"/>
  <c r="I79" i="3"/>
  <c r="I44" i="3"/>
  <c r="C100" i="3"/>
  <c r="Q16" i="3" s="1"/>
  <c r="C101" i="3"/>
  <c r="C102" i="3"/>
  <c r="F35" i="3" s="1"/>
  <c r="F132" i="3" s="1"/>
  <c r="F37" i="4" s="1"/>
  <c r="C42" i="3"/>
  <c r="C52" i="3"/>
  <c r="C43" i="3"/>
  <c r="C53" i="3" s="1"/>
  <c r="C26" i="3"/>
  <c r="C44" i="3"/>
  <c r="C54" i="3" s="1"/>
  <c r="C45" i="3"/>
  <c r="C55" i="3"/>
  <c r="D42" i="3"/>
  <c r="D43" i="3"/>
  <c r="D26" i="3"/>
  <c r="D44" i="3"/>
  <c r="D54" i="3" s="1"/>
  <c r="D45" i="3"/>
  <c r="D28" i="3"/>
  <c r="E42" i="3"/>
  <c r="E25" i="3"/>
  <c r="E43" i="3"/>
  <c r="E53" i="3" s="1"/>
  <c r="E26" i="3"/>
  <c r="E44" i="3"/>
  <c r="E27" i="3"/>
  <c r="E45" i="3"/>
  <c r="E55" i="3" s="1"/>
  <c r="F42" i="3"/>
  <c r="F52" i="3" s="1"/>
  <c r="F25" i="3"/>
  <c r="F43" i="3"/>
  <c r="F44" i="3"/>
  <c r="F54" i="3" s="1"/>
  <c r="F27" i="3"/>
  <c r="F45" i="3"/>
  <c r="G42" i="3"/>
  <c r="G52" i="3" s="1"/>
  <c r="G43" i="3"/>
  <c r="G53" i="3" s="1"/>
  <c r="G26" i="3"/>
  <c r="G44" i="3"/>
  <c r="G54" i="3" s="1"/>
  <c r="G27" i="3"/>
  <c r="G45" i="3"/>
  <c r="H42" i="3"/>
  <c r="H52" i="3" s="1"/>
  <c r="H43" i="3"/>
  <c r="H53" i="3" s="1"/>
  <c r="H26" i="3"/>
  <c r="H44" i="3"/>
  <c r="H27" i="3"/>
  <c r="H45" i="3"/>
  <c r="H28" i="3"/>
  <c r="I42" i="3"/>
  <c r="I52" i="3"/>
  <c r="I25" i="3"/>
  <c r="I43" i="3"/>
  <c r="I53" i="3" s="1"/>
  <c r="I26" i="3"/>
  <c r="I45" i="3"/>
  <c r="I55" i="3" s="1"/>
  <c r="L42" i="4"/>
  <c r="C45" i="4"/>
  <c r="D45" i="4"/>
  <c r="E45" i="4"/>
  <c r="P17" i="3"/>
  <c r="F45" i="4" s="1"/>
  <c r="C46" i="4"/>
  <c r="D46" i="4"/>
  <c r="E46" i="4"/>
  <c r="P18" i="3"/>
  <c r="F46" i="4" s="1"/>
  <c r="D44" i="4"/>
  <c r="E44" i="4"/>
  <c r="P16" i="3"/>
  <c r="F44" i="4" s="1"/>
  <c r="C44" i="4"/>
  <c r="C108" i="3"/>
  <c r="J5" i="3"/>
  <c r="J16" i="3"/>
  <c r="J12" i="1"/>
  <c r="J6" i="3"/>
  <c r="J7" i="3"/>
  <c r="J8" i="3"/>
  <c r="J9" i="3"/>
  <c r="J17" i="3"/>
  <c r="J18" i="3"/>
  <c r="D108" i="3"/>
  <c r="I143" i="3" s="1"/>
  <c r="E108" i="3"/>
  <c r="D109" i="3"/>
  <c r="I144" i="3"/>
  <c r="E109" i="3"/>
  <c r="D110" i="3"/>
  <c r="I145" i="3" s="1"/>
  <c r="E110" i="3"/>
  <c r="D111" i="3"/>
  <c r="I146" i="3" s="1"/>
  <c r="E111" i="3"/>
  <c r="K146" i="3" s="1"/>
  <c r="D112" i="3"/>
  <c r="I147" i="3" s="1"/>
  <c r="E112" i="3"/>
  <c r="C109" i="3"/>
  <c r="G144" i="3" s="1"/>
  <c r="C110" i="3"/>
  <c r="G145" i="3" s="1"/>
  <c r="C111" i="3"/>
  <c r="C112" i="3"/>
  <c r="C80" i="3"/>
  <c r="D80" i="3"/>
  <c r="E80" i="3"/>
  <c r="F80" i="3"/>
  <c r="G80" i="3"/>
  <c r="H80" i="3"/>
  <c r="I80" i="3"/>
  <c r="C81" i="3"/>
  <c r="D81" i="3"/>
  <c r="E81" i="3"/>
  <c r="F81" i="3"/>
  <c r="G81" i="3"/>
  <c r="H81" i="3"/>
  <c r="I81" i="3"/>
  <c r="C82" i="3"/>
  <c r="D82" i="3"/>
  <c r="E82" i="3"/>
  <c r="F82" i="3"/>
  <c r="G82" i="3"/>
  <c r="H82" i="3"/>
  <c r="I82" i="3"/>
  <c r="C83" i="3"/>
  <c r="D83" i="3"/>
  <c r="E83" i="3"/>
  <c r="F83" i="3"/>
  <c r="G83" i="3"/>
  <c r="H83" i="3"/>
  <c r="I83" i="3"/>
  <c r="D37" i="1"/>
  <c r="E37" i="1"/>
  <c r="C37" i="1"/>
  <c r="J9" i="1"/>
  <c r="J10" i="1"/>
  <c r="J11" i="1"/>
  <c r="J8" i="1"/>
  <c r="B41" i="3" l="1"/>
  <c r="B43" i="3"/>
  <c r="D15" i="3"/>
  <c r="D32" i="3"/>
  <c r="D50" i="3"/>
  <c r="B51" i="3"/>
  <c r="B62" i="3"/>
  <c r="B95" i="3"/>
  <c r="B122" i="3"/>
  <c r="B147" i="3"/>
  <c r="D107" i="3"/>
  <c r="F117" i="3"/>
  <c r="D129" i="3"/>
  <c r="B16" i="4"/>
  <c r="D13" i="4"/>
  <c r="G94" i="3"/>
  <c r="B55" i="3"/>
  <c r="B72" i="3"/>
  <c r="B108" i="3"/>
  <c r="B120" i="3"/>
  <c r="B145" i="3"/>
  <c r="B15" i="4"/>
  <c r="H15" i="3"/>
  <c r="H32" i="3"/>
  <c r="H50" i="3"/>
  <c r="B60" i="3"/>
  <c r="B83" i="3"/>
  <c r="B112" i="3"/>
  <c r="B131" i="3"/>
  <c r="E141" i="3"/>
  <c r="C117" i="3"/>
  <c r="D117" i="3"/>
  <c r="B19" i="4"/>
  <c r="I13" i="4"/>
  <c r="E24" i="3"/>
  <c r="B25" i="3"/>
  <c r="E15" i="3"/>
  <c r="E32" i="3"/>
  <c r="E50" i="3"/>
  <c r="D59" i="3"/>
  <c r="D69" i="3"/>
  <c r="B64" i="3"/>
  <c r="B91" i="3"/>
  <c r="B118" i="3"/>
  <c r="B143" i="3"/>
  <c r="N141" i="3"/>
  <c r="H117" i="3"/>
  <c r="H129" i="3"/>
  <c r="B18" i="4"/>
  <c r="I109" i="3"/>
  <c r="E5" i="4" s="1"/>
  <c r="C35" i="3"/>
  <c r="C132" i="3" s="1"/>
  <c r="G35" i="3"/>
  <c r="G132" i="3" s="1"/>
  <c r="G37" i="4" s="1"/>
  <c r="G111" i="3"/>
  <c r="C7" i="4" s="1"/>
  <c r="H111" i="3"/>
  <c r="D7" i="4" s="1"/>
  <c r="J45" i="3"/>
  <c r="H62" i="3"/>
  <c r="H72" i="3" s="1"/>
  <c r="C93" i="3"/>
  <c r="H60" i="3"/>
  <c r="H70" i="3" s="1"/>
  <c r="D51" i="3"/>
  <c r="D91" i="3" s="1"/>
  <c r="G109" i="3"/>
  <c r="C5" i="4" s="1"/>
  <c r="G112" i="3"/>
  <c r="C8" i="4" s="1"/>
  <c r="G108" i="3"/>
  <c r="C4" i="4" s="1"/>
  <c r="I35" i="3"/>
  <c r="I132" i="3" s="1"/>
  <c r="I37" i="4" s="1"/>
  <c r="E35" i="3"/>
  <c r="E132" i="3" s="1"/>
  <c r="E37" i="4" s="1"/>
  <c r="H35" i="3"/>
  <c r="H132" i="3" s="1"/>
  <c r="H37" i="4" s="1"/>
  <c r="D35" i="3"/>
  <c r="D132" i="3" s="1"/>
  <c r="D37" i="4" s="1"/>
  <c r="Q18" i="3"/>
  <c r="G46" i="4" s="1"/>
  <c r="C103" i="3"/>
  <c r="H112" i="3"/>
  <c r="D8" i="4" s="1"/>
  <c r="H109" i="3"/>
  <c r="D5" i="4" s="1"/>
  <c r="H108" i="3"/>
  <c r="D4" i="4" s="1"/>
  <c r="H110" i="3"/>
  <c r="D6" i="4" s="1"/>
  <c r="F92" i="3"/>
  <c r="H91" i="3"/>
  <c r="I92" i="3"/>
  <c r="G63" i="3"/>
  <c r="G73" i="3" s="1"/>
  <c r="H93" i="3"/>
  <c r="C62" i="3"/>
  <c r="C72" i="3" s="1"/>
  <c r="F60" i="3"/>
  <c r="F70" i="3" s="1"/>
  <c r="F91" i="3"/>
  <c r="G93" i="3"/>
  <c r="G62" i="3"/>
  <c r="G72" i="3" s="1"/>
  <c r="H25" i="3"/>
  <c r="H61" i="3" s="1"/>
  <c r="H71" i="3" s="1"/>
  <c r="F55" i="3"/>
  <c r="F53" i="3"/>
  <c r="C51" i="3"/>
  <c r="F23" i="3"/>
  <c r="F40" i="3"/>
  <c r="F90" i="3"/>
  <c r="B61" i="3"/>
  <c r="B82" i="3"/>
  <c r="B100" i="3"/>
  <c r="B119" i="3"/>
  <c r="B144" i="3"/>
  <c r="G141" i="3"/>
  <c r="E107" i="3"/>
  <c r="G129" i="3"/>
  <c r="L16" i="3"/>
  <c r="E60" i="3"/>
  <c r="E70" i="3" s="1"/>
  <c r="B27" i="3"/>
  <c r="G15" i="3"/>
  <c r="C23" i="3"/>
  <c r="E23" i="3"/>
  <c r="G32" i="3"/>
  <c r="C40" i="3"/>
  <c r="E40" i="3"/>
  <c r="G50" i="3"/>
  <c r="C59" i="3"/>
  <c r="G69" i="3"/>
  <c r="C90" i="3"/>
  <c r="E90" i="3"/>
  <c r="B54" i="3"/>
  <c r="B70" i="3"/>
  <c r="B71" i="3"/>
  <c r="B81" i="3"/>
  <c r="B94" i="3"/>
  <c r="B102" i="3"/>
  <c r="B111" i="3"/>
  <c r="B130" i="3"/>
  <c r="C141" i="3"/>
  <c r="I141" i="3"/>
  <c r="O141" i="3"/>
  <c r="G107" i="3"/>
  <c r="F129" i="3"/>
  <c r="L18" i="3"/>
  <c r="C113" i="3"/>
  <c r="D113" i="3"/>
  <c r="J42" i="3"/>
  <c r="J86" i="3"/>
  <c r="J41" i="3"/>
  <c r="G147" i="3"/>
  <c r="G110" i="3"/>
  <c r="C6" i="4" s="1"/>
  <c r="K144" i="3"/>
  <c r="G143" i="3"/>
  <c r="H55" i="3"/>
  <c r="H64" i="3" s="1"/>
  <c r="H74" i="3" s="1"/>
  <c r="D55" i="3"/>
  <c r="D64" i="3" s="1"/>
  <c r="D74" i="3" s="1"/>
  <c r="D52" i="3"/>
  <c r="B26" i="3"/>
  <c r="B42" i="3"/>
  <c r="B33" i="3"/>
  <c r="F15" i="3"/>
  <c r="H23" i="3"/>
  <c r="D23" i="3"/>
  <c r="F32" i="3"/>
  <c r="H40" i="3"/>
  <c r="D40" i="3"/>
  <c r="F50" i="3"/>
  <c r="G59" i="3"/>
  <c r="H59" i="3"/>
  <c r="B53" i="3"/>
  <c r="B63" i="3"/>
  <c r="B74" i="3"/>
  <c r="B79" i="3"/>
  <c r="B80" i="3"/>
  <c r="B93" i="3"/>
  <c r="B101" i="3"/>
  <c r="B121" i="3"/>
  <c r="B132" i="3"/>
  <c r="B146" i="3"/>
  <c r="D141" i="3"/>
  <c r="C107" i="3"/>
  <c r="H107" i="3"/>
  <c r="G117" i="3"/>
  <c r="B17" i="4"/>
  <c r="G23" i="3"/>
  <c r="G40" i="3"/>
  <c r="B52" i="3"/>
  <c r="B73" i="3"/>
  <c r="B92" i="3"/>
  <c r="H54" i="3"/>
  <c r="J44" i="3"/>
  <c r="J79" i="3"/>
  <c r="J80" i="3"/>
  <c r="J82" i="3"/>
  <c r="J81" i="3"/>
  <c r="D60" i="3"/>
  <c r="D70" i="3" s="1"/>
  <c r="F61" i="3"/>
  <c r="F71" i="3" s="1"/>
  <c r="K143" i="3"/>
  <c r="I108" i="3"/>
  <c r="K147" i="3"/>
  <c r="I93" i="3"/>
  <c r="I62" i="3"/>
  <c r="I72" i="3" s="1"/>
  <c r="J83" i="3"/>
  <c r="I112" i="3"/>
  <c r="E8" i="4" s="1"/>
  <c r="I110" i="3"/>
  <c r="K145" i="3"/>
  <c r="E113" i="3"/>
  <c r="I148" i="3"/>
  <c r="E93" i="3"/>
  <c r="E62" i="3"/>
  <c r="E72" i="3" s="1"/>
  <c r="D53" i="3"/>
  <c r="J43" i="3"/>
  <c r="G44" i="4"/>
  <c r="E91" i="3"/>
  <c r="I61" i="3"/>
  <c r="I71" i="3" s="1"/>
  <c r="I111" i="3"/>
  <c r="E7" i="4" s="1"/>
  <c r="G146" i="3"/>
  <c r="G148" i="3" s="1"/>
  <c r="F94" i="3"/>
  <c r="F63" i="3"/>
  <c r="F73" i="3" s="1"/>
  <c r="E54" i="3"/>
  <c r="E52" i="3"/>
  <c r="D27" i="3"/>
  <c r="D63" i="3" s="1"/>
  <c r="D73" i="3" s="1"/>
  <c r="D25" i="3"/>
  <c r="G28" i="3"/>
  <c r="C27" i="3"/>
  <c r="C94" i="3" s="1"/>
  <c r="C25" i="3"/>
  <c r="C92" i="3" s="1"/>
  <c r="Q17" i="3"/>
  <c r="I27" i="3"/>
  <c r="I24" i="3"/>
  <c r="I60" i="3" s="1"/>
  <c r="I70" i="3" s="1"/>
  <c r="G24" i="3"/>
  <c r="B28" i="3"/>
  <c r="G55" i="3"/>
  <c r="F28" i="3"/>
  <c r="F26" i="3"/>
  <c r="F93" i="3" s="1"/>
  <c r="I54" i="3"/>
  <c r="G51" i="3"/>
  <c r="C24" i="3"/>
  <c r="I28" i="3"/>
  <c r="I95" i="3" s="1"/>
  <c r="E28" i="3"/>
  <c r="E64" i="3" s="1"/>
  <c r="E74" i="3" s="1"/>
  <c r="G25" i="3"/>
  <c r="G92" i="3" s="1"/>
  <c r="C28" i="3"/>
  <c r="H95" i="3" l="1"/>
  <c r="J109" i="3"/>
  <c r="C119" i="3" s="1"/>
  <c r="C26" i="4" s="1"/>
  <c r="K148" i="3"/>
  <c r="F64" i="3"/>
  <c r="F74" i="3" s="1"/>
  <c r="D95" i="3"/>
  <c r="D92" i="3"/>
  <c r="C91" i="3"/>
  <c r="J35" i="3"/>
  <c r="H113" i="3"/>
  <c r="D9" i="4" s="1"/>
  <c r="F95" i="3"/>
  <c r="F96" i="3" s="1"/>
  <c r="H92" i="3"/>
  <c r="I64" i="3"/>
  <c r="I74" i="3" s="1"/>
  <c r="D94" i="3"/>
  <c r="F62" i="3"/>
  <c r="F72" i="3" s="1"/>
  <c r="I91" i="3"/>
  <c r="J26" i="3"/>
  <c r="G113" i="3"/>
  <c r="C9" i="4" s="1"/>
  <c r="G60" i="3"/>
  <c r="G70" i="3" s="1"/>
  <c r="G91" i="3"/>
  <c r="E94" i="3"/>
  <c r="E63" i="3"/>
  <c r="E73" i="3" s="1"/>
  <c r="E6" i="4"/>
  <c r="I113" i="3"/>
  <c r="E9" i="4" s="1"/>
  <c r="J110" i="3"/>
  <c r="C95" i="3"/>
  <c r="J28" i="3"/>
  <c r="G45" i="4"/>
  <c r="C47" i="4" s="1"/>
  <c r="N19" i="3"/>
  <c r="O19" i="3"/>
  <c r="C64" i="3"/>
  <c r="C74" i="3" s="1"/>
  <c r="J27" i="3"/>
  <c r="C63" i="3"/>
  <c r="C73" i="3" s="1"/>
  <c r="G95" i="3"/>
  <c r="G64" i="3"/>
  <c r="G74" i="3" s="1"/>
  <c r="M19" i="3"/>
  <c r="C37" i="4"/>
  <c r="J132" i="3"/>
  <c r="J37" i="4" s="1"/>
  <c r="L46" i="4" s="1"/>
  <c r="J111" i="3"/>
  <c r="I94" i="3"/>
  <c r="I63" i="3"/>
  <c r="I73" i="3" s="1"/>
  <c r="C61" i="3"/>
  <c r="C71" i="3" s="1"/>
  <c r="J25" i="3"/>
  <c r="D93" i="3"/>
  <c r="J93" i="3" s="1"/>
  <c r="D62" i="3"/>
  <c r="D72" i="3" s="1"/>
  <c r="D61" i="3"/>
  <c r="D71" i="3" s="1"/>
  <c r="J112" i="3"/>
  <c r="J24" i="3"/>
  <c r="E92" i="3"/>
  <c r="E61" i="3"/>
  <c r="E71" i="3" s="1"/>
  <c r="E95" i="3"/>
  <c r="C60" i="3"/>
  <c r="C70" i="3" s="1"/>
  <c r="G61" i="3"/>
  <c r="G71" i="3" s="1"/>
  <c r="E4" i="4"/>
  <c r="J108" i="3"/>
  <c r="H94" i="3"/>
  <c r="H63" i="3"/>
  <c r="H73" i="3" s="1"/>
  <c r="E47" i="4" l="1"/>
  <c r="D119" i="3"/>
  <c r="D26" i="4" s="1"/>
  <c r="F119" i="3"/>
  <c r="F26" i="4" s="1"/>
  <c r="F5" i="4"/>
  <c r="H119" i="3"/>
  <c r="H26" i="4" s="1"/>
  <c r="G119" i="3"/>
  <c r="G26" i="4" s="1"/>
  <c r="I119" i="3"/>
  <c r="I26" i="4" s="1"/>
  <c r="E119" i="3"/>
  <c r="E26" i="4" s="1"/>
  <c r="J113" i="3"/>
  <c r="F9" i="4" s="1"/>
  <c r="C96" i="3"/>
  <c r="J91" i="3"/>
  <c r="H96" i="3"/>
  <c r="I96" i="3"/>
  <c r="E96" i="3"/>
  <c r="G47" i="4"/>
  <c r="J95" i="3"/>
  <c r="D47" i="4"/>
  <c r="P19" i="3"/>
  <c r="D96" i="3"/>
  <c r="C121" i="3"/>
  <c r="H121" i="3"/>
  <c r="H28" i="4" s="1"/>
  <c r="F121" i="3"/>
  <c r="F28" i="4" s="1"/>
  <c r="D121" i="3"/>
  <c r="D28" i="4" s="1"/>
  <c r="E121" i="3"/>
  <c r="E28" i="4" s="1"/>
  <c r="G121" i="3"/>
  <c r="G28" i="4" s="1"/>
  <c r="I121" i="3"/>
  <c r="I28" i="4" s="1"/>
  <c r="F7" i="4"/>
  <c r="D120" i="3"/>
  <c r="D27" i="4" s="1"/>
  <c r="G120" i="3"/>
  <c r="G27" i="4" s="1"/>
  <c r="I120" i="3"/>
  <c r="I27" i="4" s="1"/>
  <c r="E120" i="3"/>
  <c r="E27" i="4" s="1"/>
  <c r="H120" i="3"/>
  <c r="H27" i="4" s="1"/>
  <c r="C120" i="3"/>
  <c r="F120" i="3"/>
  <c r="F27" i="4" s="1"/>
  <c r="F6" i="4"/>
  <c r="D118" i="3"/>
  <c r="F4" i="4"/>
  <c r="F118" i="3"/>
  <c r="E118" i="3"/>
  <c r="I118" i="3"/>
  <c r="H118" i="3"/>
  <c r="G118" i="3"/>
  <c r="C118" i="3"/>
  <c r="J94" i="3"/>
  <c r="I122" i="3"/>
  <c r="I29" i="4" s="1"/>
  <c r="C122" i="3"/>
  <c r="F122" i="3"/>
  <c r="F29" i="4" s="1"/>
  <c r="E122" i="3"/>
  <c r="E29" i="4" s="1"/>
  <c r="F8" i="4"/>
  <c r="D122" i="3"/>
  <c r="D29" i="4" s="1"/>
  <c r="H122" i="3"/>
  <c r="H29" i="4" s="1"/>
  <c r="G122" i="3"/>
  <c r="G29" i="4" s="1"/>
  <c r="K132" i="3"/>
  <c r="J92" i="3"/>
  <c r="G96" i="3"/>
  <c r="F47" i="4" l="1"/>
  <c r="J119" i="3"/>
  <c r="J26" i="4" s="1"/>
  <c r="J96" i="3"/>
  <c r="J97" i="3"/>
  <c r="D97" i="3" s="1"/>
  <c r="F123" i="3"/>
  <c r="F25" i="4"/>
  <c r="J121" i="3"/>
  <c r="J28" i="4" s="1"/>
  <c r="L132" i="3"/>
  <c r="K37" i="4"/>
  <c r="J118" i="3"/>
  <c r="J25" i="4" s="1"/>
  <c r="D123" i="3"/>
  <c r="D25" i="4"/>
  <c r="F99" i="3"/>
  <c r="J122" i="3"/>
  <c r="J29" i="4" s="1"/>
  <c r="C25" i="4"/>
  <c r="C123" i="3"/>
  <c r="C29" i="4"/>
  <c r="G123" i="3"/>
  <c r="G25" i="4"/>
  <c r="J120" i="3"/>
  <c r="J27" i="4" s="1"/>
  <c r="H123" i="3"/>
  <c r="H25" i="4"/>
  <c r="I25" i="4"/>
  <c r="I123" i="3"/>
  <c r="C28" i="4"/>
  <c r="E123" i="3"/>
  <c r="E25" i="4"/>
  <c r="C27" i="4"/>
  <c r="K119" i="3" l="1"/>
  <c r="P144" i="3" s="1"/>
  <c r="J16" i="4" s="1"/>
  <c r="K122" i="3"/>
  <c r="P147" i="3" s="1"/>
  <c r="J19" i="4" s="1"/>
  <c r="K118" i="3"/>
  <c r="P143" i="3" s="1"/>
  <c r="K121" i="3"/>
  <c r="P146" i="3" s="1"/>
  <c r="J18" i="4" s="1"/>
  <c r="J30" i="4"/>
  <c r="M46" i="4"/>
  <c r="I46" i="4"/>
  <c r="J46" i="4"/>
  <c r="H46" i="4"/>
  <c r="E144" i="3"/>
  <c r="E16" i="4" s="1"/>
  <c r="E147" i="3"/>
  <c r="E19" i="4" s="1"/>
  <c r="E143" i="3"/>
  <c r="E145" i="3"/>
  <c r="E17" i="4" s="1"/>
  <c r="E146" i="3"/>
  <c r="E18" i="4" s="1"/>
  <c r="J123" i="3"/>
  <c r="K123" i="3" s="1"/>
  <c r="D33" i="3"/>
  <c r="D34" i="3"/>
  <c r="D131" i="3" s="1"/>
  <c r="D36" i="4" s="1"/>
  <c r="K120" i="3"/>
  <c r="F97" i="3"/>
  <c r="I97" i="3"/>
  <c r="C97" i="3"/>
  <c r="H97" i="3"/>
  <c r="E97" i="3"/>
  <c r="G97" i="3"/>
  <c r="K26" i="4" l="1"/>
  <c r="K29" i="4"/>
  <c r="K28" i="4"/>
  <c r="K25" i="4"/>
  <c r="K46" i="4"/>
  <c r="H33" i="3"/>
  <c r="H34" i="3"/>
  <c r="H131" i="3" s="1"/>
  <c r="H36" i="4" s="1"/>
  <c r="C33" i="3"/>
  <c r="C34" i="3"/>
  <c r="K27" i="4"/>
  <c r="P145" i="3"/>
  <c r="J17" i="4" s="1"/>
  <c r="I34" i="3"/>
  <c r="I131" i="3" s="1"/>
  <c r="I36" i="4" s="1"/>
  <c r="I33" i="3"/>
  <c r="F33" i="3"/>
  <c r="F34" i="3"/>
  <c r="F131" i="3" s="1"/>
  <c r="F36" i="4" s="1"/>
  <c r="E148" i="3"/>
  <c r="E20" i="4" s="1"/>
  <c r="E15" i="4"/>
  <c r="G33" i="3"/>
  <c r="G34" i="3"/>
  <c r="G131" i="3" s="1"/>
  <c r="G36" i="4" s="1"/>
  <c r="D130" i="3"/>
  <c r="D36" i="3"/>
  <c r="E34" i="3"/>
  <c r="E131" i="3" s="1"/>
  <c r="E36" i="4" s="1"/>
  <c r="E33" i="3"/>
  <c r="J15" i="4"/>
  <c r="K30" i="4" l="1"/>
  <c r="D35" i="4"/>
  <c r="D133" i="3"/>
  <c r="D38" i="4" s="1"/>
  <c r="G130" i="3"/>
  <c r="G36" i="3"/>
  <c r="P148" i="3"/>
  <c r="J20" i="4" s="1"/>
  <c r="J34" i="3"/>
  <c r="C131" i="3"/>
  <c r="E130" i="3"/>
  <c r="E36" i="3"/>
  <c r="C130" i="3"/>
  <c r="C36" i="3"/>
  <c r="J33" i="3"/>
  <c r="F130" i="3"/>
  <c r="F36" i="3"/>
  <c r="I36" i="3"/>
  <c r="I130" i="3"/>
  <c r="H36" i="3"/>
  <c r="H130" i="3"/>
  <c r="C36" i="4" l="1"/>
  <c r="J131" i="3"/>
  <c r="J36" i="4" s="1"/>
  <c r="L45" i="4" s="1"/>
  <c r="F35" i="4"/>
  <c r="F133" i="3"/>
  <c r="J36" i="3"/>
  <c r="H133" i="3"/>
  <c r="H38" i="4" s="1"/>
  <c r="H35" i="4"/>
  <c r="J130" i="3"/>
  <c r="K130" i="3" s="1"/>
  <c r="C133" i="3"/>
  <c r="C35" i="4"/>
  <c r="G133" i="3"/>
  <c r="G38" i="4" s="1"/>
  <c r="G35" i="4"/>
  <c r="I133" i="3"/>
  <c r="I35" i="4"/>
  <c r="E35" i="4"/>
  <c r="E133" i="3"/>
  <c r="E38" i="4" s="1"/>
  <c r="K131" i="3" l="1"/>
  <c r="K133" i="3" s="1"/>
  <c r="K38" i="4" s="1"/>
  <c r="I38" i="4"/>
  <c r="I134" i="3"/>
  <c r="I135" i="3" s="1"/>
  <c r="I124" i="3" s="1"/>
  <c r="I125" i="3" s="1"/>
  <c r="F38" i="4"/>
  <c r="F134" i="3"/>
  <c r="F135" i="3" s="1"/>
  <c r="F124" i="3" s="1"/>
  <c r="F125" i="3" s="1"/>
  <c r="C38" i="4"/>
  <c r="L144" i="3"/>
  <c r="O144" i="3" s="1"/>
  <c r="I16" i="4" s="1"/>
  <c r="C134" i="3"/>
  <c r="C135" i="3" s="1"/>
  <c r="C124" i="3" s="1"/>
  <c r="C125" i="3" s="1"/>
  <c r="L143" i="3"/>
  <c r="L145" i="3"/>
  <c r="O145" i="3" s="1"/>
  <c r="I17" i="4" s="1"/>
  <c r="L146" i="3"/>
  <c r="O146" i="3" s="1"/>
  <c r="I18" i="4" s="1"/>
  <c r="L147" i="3"/>
  <c r="O147" i="3" s="1"/>
  <c r="I19" i="4" s="1"/>
  <c r="L130" i="3"/>
  <c r="H145" i="3" s="1"/>
  <c r="M145" i="3" s="1"/>
  <c r="K35" i="4"/>
  <c r="J35" i="4"/>
  <c r="L44" i="4" s="1"/>
  <c r="L47" i="4" s="1"/>
  <c r="J133" i="3"/>
  <c r="J38" i="4" s="1"/>
  <c r="K36" i="4" l="1"/>
  <c r="H45" i="4" s="1"/>
  <c r="L131" i="3"/>
  <c r="J143" i="3" s="1"/>
  <c r="N143" i="3" s="1"/>
  <c r="H143" i="3"/>
  <c r="M143" i="3" s="1"/>
  <c r="H147" i="3"/>
  <c r="M147" i="3" s="1"/>
  <c r="G19" i="4" s="1"/>
  <c r="I44" i="4"/>
  <c r="H44" i="4"/>
  <c r="M44" i="4"/>
  <c r="G17" i="4"/>
  <c r="O143" i="3"/>
  <c r="L148" i="3"/>
  <c r="C143" i="3"/>
  <c r="C144" i="3"/>
  <c r="C145" i="3"/>
  <c r="C146" i="3"/>
  <c r="C147" i="3"/>
  <c r="H146" i="3"/>
  <c r="M146" i="3" s="1"/>
  <c r="H144" i="3"/>
  <c r="M144" i="3" s="1"/>
  <c r="J44" i="4"/>
  <c r="M45" i="4" l="1"/>
  <c r="M47" i="4" s="1"/>
  <c r="I45" i="4"/>
  <c r="J45" i="4"/>
  <c r="J144" i="3"/>
  <c r="N144" i="3" s="1"/>
  <c r="H16" i="4" s="1"/>
  <c r="L133" i="3"/>
  <c r="D145" i="3"/>
  <c r="D17" i="4" s="1"/>
  <c r="J145" i="3"/>
  <c r="N145" i="3" s="1"/>
  <c r="H17" i="4" s="1"/>
  <c r="D143" i="3"/>
  <c r="D15" i="4" s="1"/>
  <c r="D147" i="3"/>
  <c r="D19" i="4" s="1"/>
  <c r="D146" i="3"/>
  <c r="D18" i="4" s="1"/>
  <c r="J147" i="3"/>
  <c r="N147" i="3" s="1"/>
  <c r="H19" i="4" s="1"/>
  <c r="D144" i="3"/>
  <c r="D16" i="4" s="1"/>
  <c r="J146" i="3"/>
  <c r="N146" i="3" s="1"/>
  <c r="H18" i="4" s="1"/>
  <c r="C148" i="3"/>
  <c r="C20" i="4" s="1"/>
  <c r="C15" i="4"/>
  <c r="G16" i="4"/>
  <c r="K44" i="4"/>
  <c r="H148" i="3"/>
  <c r="G15" i="4"/>
  <c r="M148" i="3"/>
  <c r="G20" i="4" s="1"/>
  <c r="Q143" i="3"/>
  <c r="C19" i="4"/>
  <c r="C18" i="4"/>
  <c r="I15" i="4"/>
  <c r="O148" i="3"/>
  <c r="I20" i="4" s="1"/>
  <c r="H15" i="4"/>
  <c r="G18" i="4"/>
  <c r="C17" i="4"/>
  <c r="C16" i="4"/>
  <c r="J47" i="4" l="1"/>
  <c r="H47" i="4"/>
  <c r="I47" i="4"/>
  <c r="K45" i="4"/>
  <c r="Q144" i="3"/>
  <c r="F145" i="3"/>
  <c r="F17" i="4" s="1"/>
  <c r="F143" i="3"/>
  <c r="F15" i="4" s="1"/>
  <c r="F144" i="3"/>
  <c r="F16" i="4" s="1"/>
  <c r="Q147" i="3"/>
  <c r="F147" i="3"/>
  <c r="F19" i="4" s="1"/>
  <c r="Q145" i="3"/>
  <c r="Q146" i="3"/>
  <c r="J148" i="3"/>
  <c r="D148" i="3"/>
  <c r="D20" i="4" s="1"/>
  <c r="N148" i="3"/>
  <c r="H20" i="4" s="1"/>
  <c r="F146" i="3"/>
  <c r="F18" i="4" s="1"/>
  <c r="K47" i="4" l="1"/>
  <c r="F148" i="3"/>
  <c r="F20" i="4" s="1"/>
</calcChain>
</file>

<file path=xl/sharedStrings.xml><?xml version="1.0" encoding="utf-8"?>
<sst xmlns="http://schemas.openxmlformats.org/spreadsheetml/2006/main" count="2526" uniqueCount="833">
  <si>
    <t>Продукт 1</t>
  </si>
  <si>
    <t>Продукт 2</t>
  </si>
  <si>
    <t>технологии</t>
  </si>
  <si>
    <t>связанные производства (детали, узлы, элементы и др.)</t>
  </si>
  <si>
    <t>Условие 1</t>
  </si>
  <si>
    <t>Условие 2</t>
  </si>
  <si>
    <t>П1</t>
  </si>
  <si>
    <t>П2</t>
  </si>
  <si>
    <t>П3</t>
  </si>
  <si>
    <t>Всего</t>
  </si>
  <si>
    <t>Индекс емкости (вклада) ресурсов (мах - 100,0%)</t>
  </si>
  <si>
    <t>Условие 3</t>
  </si>
  <si>
    <t>Риски</t>
  </si>
  <si>
    <t>Условная полезность (ценность)</t>
  </si>
  <si>
    <t>Прочие ресурсы</t>
  </si>
  <si>
    <t>Остаток</t>
  </si>
  <si>
    <t>Кадровые</t>
  </si>
  <si>
    <t>Кадро-вые</t>
  </si>
  <si>
    <t>Финансовые</t>
  </si>
  <si>
    <t>Финан-совые</t>
  </si>
  <si>
    <t>Поли-тические</t>
  </si>
  <si>
    <t>Форс-мажор</t>
  </si>
  <si>
    <t>Научно-техни-ческие</t>
  </si>
  <si>
    <t>Органи-зацион-ные</t>
  </si>
  <si>
    <t>Экономи-ческие</t>
  </si>
  <si>
    <t>Бюджетные ограничения, млн руб.</t>
  </si>
  <si>
    <t>Нормированные значения коэффициента финансирования технологической емкости</t>
  </si>
  <si>
    <t>Итого</t>
  </si>
  <si>
    <t>Индекс финансирования (вклада) по продуктам</t>
  </si>
  <si>
    <t>Оценка значимости по критериям</t>
  </si>
  <si>
    <t xml:space="preserve">Эффект                        масштаба </t>
  </si>
  <si>
    <t>const_2</t>
  </si>
  <si>
    <t>const_1</t>
  </si>
  <si>
    <t>ВЕСА:</t>
  </si>
  <si>
    <t>Суммарная полезность</t>
  </si>
  <si>
    <t>млн руб</t>
  </si>
  <si>
    <t>Всего по продуктам</t>
  </si>
  <si>
    <t xml:space="preserve"> Начальные условия финансирования, млн руб.</t>
  </si>
  <si>
    <t>млн руб.</t>
  </si>
  <si>
    <t>Эффет диверси-фикации</t>
  </si>
  <si>
    <t>Эффект                   коммерци-ализации</t>
  </si>
  <si>
    <t>Расчетые условия финансирования, млн руб.</t>
  </si>
  <si>
    <t>Начальные условия финансирования</t>
  </si>
  <si>
    <t>Изменяемая переменная 1</t>
  </si>
  <si>
    <t>Изменяемая переменная 2</t>
  </si>
  <si>
    <t>Баланс финансирования проектов и программ</t>
  </si>
  <si>
    <t>Органи-зационные</t>
  </si>
  <si>
    <t>Нормированное значение индекса емкости (вклада) ресурсов (мах - 100,0%)</t>
  </si>
  <si>
    <t>Нормированное значение индекса финансирования (вклада) по продуктам</t>
  </si>
  <si>
    <t>Коэффициент финансирования технологической емкости (по нормированным значениям)</t>
  </si>
  <si>
    <t xml:space="preserve">пороговое значение </t>
  </si>
  <si>
    <t>Программа (проект)</t>
  </si>
  <si>
    <t>Продукт</t>
  </si>
  <si>
    <t>Сбалансированное распределение финансирования, млн руб.</t>
  </si>
  <si>
    <t>Интегральная оценка (Ri)</t>
  </si>
  <si>
    <t>Показатели значимости финансирования</t>
  </si>
  <si>
    <t>связанные производства                           (детали, узлы, элементы и др.)</t>
  </si>
  <si>
    <t>Остаток (+)/ Дефицит (-)</t>
  </si>
  <si>
    <t>Технологии</t>
  </si>
  <si>
    <t>Связанные производства                           (детали, узлы, элементы и др.)</t>
  </si>
  <si>
    <t>Коэффициент балансировки программ (проектов)</t>
  </si>
  <si>
    <t>Баланс финансирования программ (проектов)</t>
  </si>
  <si>
    <t>Сумм полезность</t>
  </si>
  <si>
    <t>%</t>
  </si>
  <si>
    <t>Расчетные (сценарные) условия финансирования, млн руб.</t>
  </si>
  <si>
    <t>Перераспре-деление</t>
  </si>
  <si>
    <t>Новое распределение</t>
  </si>
  <si>
    <t>Начальное распределение</t>
  </si>
  <si>
    <t>начальное</t>
  </si>
  <si>
    <t>новое</t>
  </si>
  <si>
    <t xml:space="preserve">изменение  распределения финансирования продуктов по программ (проектов), % </t>
  </si>
  <si>
    <t>Бюджетное  ограничение</t>
  </si>
  <si>
    <t>Бюджетное ограничение</t>
  </si>
  <si>
    <t>…</t>
  </si>
  <si>
    <t>Продукт m</t>
  </si>
  <si>
    <t>F11</t>
  </si>
  <si>
    <t>F12</t>
  </si>
  <si>
    <t>Fij</t>
  </si>
  <si>
    <t>F1n</t>
  </si>
  <si>
    <t>F21</t>
  </si>
  <si>
    <t>F22</t>
  </si>
  <si>
    <t>F1j</t>
  </si>
  <si>
    <t>F2n</t>
  </si>
  <si>
    <t>F2j</t>
  </si>
  <si>
    <t>Fin</t>
  </si>
  <si>
    <t>Fm1</t>
  </si>
  <si>
    <t>Fm2</t>
  </si>
  <si>
    <t>Fmj</t>
  </si>
  <si>
    <t>Fmn</t>
  </si>
  <si>
    <t>Ресурс 1</t>
  </si>
  <si>
    <t>Ресурс 2</t>
  </si>
  <si>
    <t>Ресурс j</t>
  </si>
  <si>
    <t>Ресурс n</t>
  </si>
  <si>
    <t>Продукт i</t>
  </si>
  <si>
    <t>Программа 1</t>
  </si>
  <si>
    <t>Программа 2</t>
  </si>
  <si>
    <t>Программа k</t>
  </si>
  <si>
    <t>Программа R</t>
  </si>
  <si>
    <t>П11</t>
  </si>
  <si>
    <t>П12</t>
  </si>
  <si>
    <t>П21</t>
  </si>
  <si>
    <t>П1j</t>
  </si>
  <si>
    <t>П1n</t>
  </si>
  <si>
    <t>П22</t>
  </si>
  <si>
    <t>П2j</t>
  </si>
  <si>
    <t>П2n</t>
  </si>
  <si>
    <t>ПRj</t>
  </si>
  <si>
    <t>Пrn</t>
  </si>
  <si>
    <t>Пk1</t>
  </si>
  <si>
    <t>Пk2</t>
  </si>
  <si>
    <t>Пkj</t>
  </si>
  <si>
    <t>Пkn</t>
  </si>
  <si>
    <t>Пij</t>
  </si>
  <si>
    <t>Пmn</t>
  </si>
  <si>
    <t>ПRn</t>
  </si>
  <si>
    <t>Пmj</t>
  </si>
  <si>
    <t>Пm2</t>
  </si>
  <si>
    <t>Пm1</t>
  </si>
  <si>
    <t>M11</t>
  </si>
  <si>
    <t>M21</t>
  </si>
  <si>
    <t>Mm1</t>
  </si>
  <si>
    <t>M12</t>
  </si>
  <si>
    <t>M22</t>
  </si>
  <si>
    <t>Mm2</t>
  </si>
  <si>
    <t>M1j</t>
  </si>
  <si>
    <t>M2j</t>
  </si>
  <si>
    <t>Mij</t>
  </si>
  <si>
    <t>Mmj</t>
  </si>
  <si>
    <t>M1n</t>
  </si>
  <si>
    <t>M2n</t>
  </si>
  <si>
    <t>Min</t>
  </si>
  <si>
    <t>Mmn</t>
  </si>
  <si>
    <t>C11</t>
  </si>
  <si>
    <t>C21</t>
  </si>
  <si>
    <t>Ck1</t>
  </si>
  <si>
    <t>CRj</t>
  </si>
  <si>
    <t>Ckj</t>
  </si>
  <si>
    <t>Ck2</t>
  </si>
  <si>
    <t>C12</t>
  </si>
  <si>
    <t>C22</t>
  </si>
  <si>
    <t>C1j</t>
  </si>
  <si>
    <t>C2j</t>
  </si>
  <si>
    <t>C1n</t>
  </si>
  <si>
    <t>C2n</t>
  </si>
  <si>
    <t>CRn</t>
  </si>
  <si>
    <t>Ckn</t>
  </si>
  <si>
    <t>Риск 1</t>
  </si>
  <si>
    <t>Риск 2</t>
  </si>
  <si>
    <t>Риск j</t>
  </si>
  <si>
    <t>Риск n</t>
  </si>
  <si>
    <t>R11</t>
  </si>
  <si>
    <t>R21</t>
  </si>
  <si>
    <t>Rm1</t>
  </si>
  <si>
    <t>R12</t>
  </si>
  <si>
    <t>R22</t>
  </si>
  <si>
    <t>Rm2</t>
  </si>
  <si>
    <t>R1j</t>
  </si>
  <si>
    <t>R2j</t>
  </si>
  <si>
    <t>Rij</t>
  </si>
  <si>
    <t>Rmj</t>
  </si>
  <si>
    <t>R1n</t>
  </si>
  <si>
    <t>R2n</t>
  </si>
  <si>
    <t>Rin</t>
  </si>
  <si>
    <t>Rmn</t>
  </si>
  <si>
    <t>R1</t>
  </si>
  <si>
    <t>R2</t>
  </si>
  <si>
    <t>Ri</t>
  </si>
  <si>
    <t>Rm</t>
  </si>
  <si>
    <t>U11</t>
  </si>
  <si>
    <t>U21</t>
  </si>
  <si>
    <t>Um1</t>
  </si>
  <si>
    <t>U12</t>
  </si>
  <si>
    <t>U22</t>
  </si>
  <si>
    <t>Um2</t>
  </si>
  <si>
    <t>U1j</t>
  </si>
  <si>
    <t>U2j</t>
  </si>
  <si>
    <t>Uij</t>
  </si>
  <si>
    <t>Umj</t>
  </si>
  <si>
    <t>U1n</t>
  </si>
  <si>
    <t>U2n</t>
  </si>
  <si>
    <t>Uin</t>
  </si>
  <si>
    <t>Umn</t>
  </si>
  <si>
    <t>П1R</t>
  </si>
  <si>
    <t>П2R</t>
  </si>
  <si>
    <t>ПiR</t>
  </si>
  <si>
    <t>ПmR</t>
  </si>
  <si>
    <t>П1k</t>
  </si>
  <si>
    <t>П2k</t>
  </si>
  <si>
    <t>Пik</t>
  </si>
  <si>
    <t>Пmk</t>
  </si>
  <si>
    <t>Сумма</t>
  </si>
  <si>
    <r>
      <t>Х</t>
    </r>
    <r>
      <rPr>
        <i/>
        <vertAlign val="subscript"/>
        <sz val="12"/>
        <color theme="1"/>
        <rFont val="Times New Roman"/>
        <family val="1"/>
        <charset val="204"/>
      </rPr>
      <t>∑i</t>
    </r>
    <r>
      <rPr>
        <i/>
        <sz val="12"/>
        <color theme="1"/>
        <rFont val="Times New Roman"/>
        <family val="1"/>
        <charset val="204"/>
      </rPr>
      <t xml:space="preserve"> =0,7 (0,2 Х</t>
    </r>
    <r>
      <rPr>
        <i/>
        <vertAlign val="subscript"/>
        <sz val="12"/>
        <color theme="1"/>
        <rFont val="Times New Roman"/>
        <family val="1"/>
        <charset val="204"/>
      </rPr>
      <t>i1</t>
    </r>
    <r>
      <rPr>
        <i/>
        <sz val="12"/>
        <color theme="1"/>
        <rFont val="Times New Roman"/>
        <family val="1"/>
        <charset val="204"/>
      </rPr>
      <t xml:space="preserve"> + 0,25 Х</t>
    </r>
    <r>
      <rPr>
        <i/>
        <vertAlign val="subscript"/>
        <sz val="12"/>
        <color theme="1"/>
        <rFont val="Times New Roman"/>
        <family val="1"/>
        <charset val="204"/>
      </rPr>
      <t>i2</t>
    </r>
    <r>
      <rPr>
        <i/>
        <sz val="12"/>
        <color theme="1"/>
        <rFont val="Times New Roman"/>
        <family val="1"/>
        <charset val="204"/>
      </rPr>
      <t xml:space="preserve"> + 0,1 Х</t>
    </r>
    <r>
      <rPr>
        <i/>
        <vertAlign val="subscript"/>
        <sz val="12"/>
        <color theme="1"/>
        <rFont val="Times New Roman"/>
        <family val="1"/>
        <charset val="204"/>
      </rPr>
      <t>i3</t>
    </r>
    <r>
      <rPr>
        <i/>
        <sz val="12"/>
        <color theme="1"/>
        <rFont val="Times New Roman"/>
        <family val="1"/>
        <charset val="204"/>
      </rPr>
      <t xml:space="preserve"> + 0,1 Х</t>
    </r>
    <r>
      <rPr>
        <i/>
        <vertAlign val="subscript"/>
        <sz val="12"/>
        <color theme="1"/>
        <rFont val="Times New Roman"/>
        <family val="1"/>
        <charset val="204"/>
      </rPr>
      <t>i4</t>
    </r>
    <r>
      <rPr>
        <i/>
        <sz val="12"/>
        <color theme="1"/>
        <rFont val="Times New Roman"/>
        <family val="1"/>
        <charset val="204"/>
      </rPr>
      <t xml:space="preserve"> + 0,35 Х</t>
    </r>
    <r>
      <rPr>
        <i/>
        <vertAlign val="subscript"/>
        <sz val="12"/>
        <color theme="1"/>
        <rFont val="Times New Roman"/>
        <family val="1"/>
        <charset val="204"/>
      </rPr>
      <t>i5</t>
    </r>
    <r>
      <rPr>
        <i/>
        <sz val="12"/>
        <color theme="1"/>
        <rFont val="Times New Roman"/>
        <family val="1"/>
        <charset val="204"/>
      </rPr>
      <t>)+ 0,2 Х</t>
    </r>
    <r>
      <rPr>
        <i/>
        <vertAlign val="subscript"/>
        <sz val="12"/>
        <color theme="1"/>
        <rFont val="Times New Roman"/>
        <family val="1"/>
        <charset val="204"/>
      </rPr>
      <t>i6</t>
    </r>
    <r>
      <rPr>
        <i/>
        <sz val="12"/>
        <color theme="1"/>
        <rFont val="Times New Roman"/>
        <family val="1"/>
        <charset val="204"/>
      </rPr>
      <t xml:space="preserve"> + 0,1 Х</t>
    </r>
    <r>
      <rPr>
        <i/>
        <vertAlign val="subscript"/>
        <sz val="12"/>
        <color theme="1"/>
        <rFont val="Times New Roman"/>
        <family val="1"/>
        <charset val="204"/>
      </rPr>
      <t>i7</t>
    </r>
  </si>
  <si>
    <t>K11</t>
  </si>
  <si>
    <t>K21</t>
  </si>
  <si>
    <t>Km1</t>
  </si>
  <si>
    <t>K12</t>
  </si>
  <si>
    <t>K22</t>
  </si>
  <si>
    <t>Km2</t>
  </si>
  <si>
    <t>K1R</t>
  </si>
  <si>
    <t>K2R</t>
  </si>
  <si>
    <t>KiR</t>
  </si>
  <si>
    <t>KmR</t>
  </si>
  <si>
    <t>K1k</t>
  </si>
  <si>
    <t>K2k</t>
  </si>
  <si>
    <t>Kik</t>
  </si>
  <si>
    <t>Kmk</t>
  </si>
  <si>
    <t>Программа</t>
  </si>
  <si>
    <t>Начальная структура финансирования</t>
  </si>
  <si>
    <t>Структура финансирования ресурсов по программам</t>
  </si>
  <si>
    <t>Связанные произво-дства</t>
  </si>
  <si>
    <t>Новая структура финансирования</t>
  </si>
  <si>
    <t>Астероидная опасность</t>
  </si>
  <si>
    <t>5G из космоса</t>
  </si>
  <si>
    <t>Навигация 2.0</t>
  </si>
  <si>
    <t>Энергетика транспорт</t>
  </si>
  <si>
    <t>ОптоКванты</t>
  </si>
  <si>
    <t xml:space="preserve">  Робот прз</t>
  </si>
  <si>
    <t>Оптика</t>
  </si>
  <si>
    <t>Ист Энергии</t>
  </si>
  <si>
    <t>ИИ</t>
  </si>
  <si>
    <t>КосмТех</t>
  </si>
  <si>
    <t>ЭлемБаза</t>
  </si>
  <si>
    <t>SUM</t>
  </si>
  <si>
    <t>mln. Rub</t>
  </si>
  <si>
    <t>Лимит</t>
  </si>
  <si>
    <t>Engineering Model:</t>
  </si>
  <si>
    <t>Financial Model</t>
  </si>
  <si>
    <t>Iteration number:</t>
  </si>
  <si>
    <t>Study Phase:</t>
  </si>
  <si>
    <t>PREPARATION_PHASE</t>
  </si>
  <si>
    <t>Domain:</t>
  </si>
  <si>
    <t>System Engineering</t>
  </si>
  <si>
    <t>User:</t>
  </si>
  <si>
    <t>The Administrator</t>
  </si>
  <si>
    <t>Rebuild Date:</t>
  </si>
  <si>
    <t>Name</t>
  </si>
  <si>
    <t>Short Name</t>
  </si>
  <si>
    <t>Computed</t>
  </si>
  <si>
    <t>Manual</t>
  </si>
  <si>
    <t>Reference</t>
  </si>
  <si>
    <t>Switch</t>
  </si>
  <si>
    <t>Actual Value</t>
  </si>
  <si>
    <t>Model Code</t>
  </si>
  <si>
    <t>Parameter Type</t>
  </si>
  <si>
    <t>Owner</t>
  </si>
  <si>
    <t>Category</t>
  </si>
  <si>
    <t>TYPE</t>
  </si>
  <si>
    <t>ValueSet Id</t>
  </si>
  <si>
    <t>AI</t>
  </si>
  <si>
    <t>SYS</t>
  </si>
  <si>
    <t/>
  </si>
  <si>
    <t>ED</t>
  </si>
  <si>
    <t>755c9cfd-906e-49ad-ba85-82d6b6df69d1</t>
  </si>
  <si>
    <t xml:space="preserve">   Technology Input Index</t>
  </si>
  <si>
    <t>II</t>
  </si>
  <si>
    <t>-</t>
  </si>
  <si>
    <t>MANUAL</t>
  </si>
  <si>
    <t>AI.II</t>
  </si>
  <si>
    <t>II [-]</t>
  </si>
  <si>
    <t>PVS</t>
  </si>
  <si>
    <t>7fd4a167-7819-4be5-a97d-b0a72c2b90db</t>
  </si>
  <si>
    <t>Asteroid Defence</t>
  </si>
  <si>
    <t>AD</t>
  </si>
  <si>
    <t>53b26d02-058b-4e8a-be17-71a7fe3bae35</t>
  </si>
  <si>
    <t xml:space="preserve">   Economical Risk Index</t>
  </si>
  <si>
    <t>ERI</t>
  </si>
  <si>
    <t>AD.ERI</t>
  </si>
  <si>
    <t>ERI [-]</t>
  </si>
  <si>
    <t>fb6e984f-ea83-407c-aed4-aa6b4258eb25</t>
  </si>
  <si>
    <t xml:space="preserve">   FInancial risk Index</t>
  </si>
  <si>
    <t>FRI</t>
  </si>
  <si>
    <t>AD.FRI</t>
  </si>
  <si>
    <t>FRI [-]</t>
  </si>
  <si>
    <t>77fadbf1-853d-490b-8620-ae6a30d1681f</t>
  </si>
  <si>
    <t xml:space="preserve">   Force Majeure</t>
  </si>
  <si>
    <t>FM</t>
  </si>
  <si>
    <t>AD.FM</t>
  </si>
  <si>
    <t>FM [-]</t>
  </si>
  <si>
    <t>0edf379c-8642-40bb-97cd-c369eb1b354a</t>
  </si>
  <si>
    <t xml:space="preserve">   HR Risk Index</t>
  </si>
  <si>
    <t>HRI</t>
  </si>
  <si>
    <t>AD.HRI</t>
  </si>
  <si>
    <t>HRI [-]</t>
  </si>
  <si>
    <t>6c7f203a-d17a-42c9-a849-1a7e456ca92a</t>
  </si>
  <si>
    <t xml:space="preserve">   Operational Risk Index</t>
  </si>
  <si>
    <t>ORI</t>
  </si>
  <si>
    <t>AD.ORI</t>
  </si>
  <si>
    <t>ORI [-]</t>
  </si>
  <si>
    <t>155fe9c5-05c1-4110-83bd-dbcff4b62ce2</t>
  </si>
  <si>
    <t xml:space="preserve">   Political Risk Index</t>
  </si>
  <si>
    <t>PRI</t>
  </si>
  <si>
    <t>AD.PRI</t>
  </si>
  <si>
    <t>PRI [-]</t>
  </si>
  <si>
    <t>bb01e9b8-987f-481e-a2cc-b676a3ccc579</t>
  </si>
  <si>
    <t xml:space="preserve">   Scientific Risk Index</t>
  </si>
  <si>
    <t>SRI</t>
  </si>
  <si>
    <t>AD.SRI</t>
  </si>
  <si>
    <t>SRI [-]</t>
  </si>
  <si>
    <t>f8dfcde1-a800-4e89-bd3d-90c618ce7347</t>
  </si>
  <si>
    <t xml:space="preserve">   AI : AI</t>
  </si>
  <si>
    <t>AD.AI</t>
  </si>
  <si>
    <t>EU</t>
  </si>
  <si>
    <t>219da97e-f0d3-4a3f-893f-78d1e71801c6</t>
  </si>
  <si>
    <t xml:space="preserve">   CT : CT</t>
  </si>
  <si>
    <t>AD.CT</t>
  </si>
  <si>
    <t>442a0f7a-b902-4c4f-ac7f-52e538ecb123</t>
  </si>
  <si>
    <t xml:space="preserve">   EB : EB</t>
  </si>
  <si>
    <t>AD.EB</t>
  </si>
  <si>
    <t>ed490eca-652f-427f-b173-8a1dd25227a8</t>
  </si>
  <si>
    <t xml:space="preserve">   ES : ES</t>
  </si>
  <si>
    <t>AD.ES</t>
  </si>
  <si>
    <t>42c7775a-7677-4360-a44d-e54264526ca7</t>
  </si>
  <si>
    <t xml:space="preserve">   O : O</t>
  </si>
  <si>
    <t>AD.O</t>
  </si>
  <si>
    <t>a717bbe8-a88c-447a-8de1-790da99db059</t>
  </si>
  <si>
    <t xml:space="preserve">   OTH : OTH</t>
  </si>
  <si>
    <t>AD.OTH</t>
  </si>
  <si>
    <t>c88e5c15-07ec-4524-9ccb-064cf4502e67</t>
  </si>
  <si>
    <t xml:space="preserve">   R : R</t>
  </si>
  <si>
    <t>AD.R</t>
  </si>
  <si>
    <t>3e6bf2e6-abf8-4b66-a0f5-33667d38c521</t>
  </si>
  <si>
    <t>CosmTech</t>
  </si>
  <si>
    <t>CT</t>
  </si>
  <si>
    <t>a807b51f-8e0b-494c-bf47-ce1b676e4dbd</t>
  </si>
  <si>
    <t>CT.II</t>
  </si>
  <si>
    <t>536f5da0-9669-42b9-9687-e0de709d10c3</t>
  </si>
  <si>
    <t>Elements Base</t>
  </si>
  <si>
    <t>EB</t>
  </si>
  <si>
    <t>1cde29d7-7841-4c82-afdf-9988d3e80a52</t>
  </si>
  <si>
    <t>EB.II</t>
  </si>
  <si>
    <t>795c10d2-4a1f-4797-84aa-ec09cbc6dc82</t>
  </si>
  <si>
    <t>Energy</t>
  </si>
  <si>
    <t>ES</t>
  </si>
  <si>
    <t>80fc32ab-510d-4fce-99a4-14f4a6a50129</t>
  </si>
  <si>
    <t>ES.ERI</t>
  </si>
  <si>
    <t>e0f4cc61-b484-46d0-b9c8-95dbb6476a2e</t>
  </si>
  <si>
    <t>ES.FRI</t>
  </si>
  <si>
    <t>106a5930-bff9-43ef-b9ce-e67d0012520f</t>
  </si>
  <si>
    <t>ES.FM</t>
  </si>
  <si>
    <t>aecf77c5-fb93-40b5-b3ed-d70895ad71e0</t>
  </si>
  <si>
    <t>ES.HRI</t>
  </si>
  <si>
    <t>3df05987-d7e0-490b-9d56-164933960829</t>
  </si>
  <si>
    <t>ES.ORI</t>
  </si>
  <si>
    <t>cc46a4ee-3bfe-4eb7-8e19-7024483a7b0b</t>
  </si>
  <si>
    <t>ES.PRI</t>
  </si>
  <si>
    <t>bc0efb05-b722-4040-972b-a5f2a4ae782c</t>
  </si>
  <si>
    <t>ES.SRI</t>
  </si>
  <si>
    <t>55dd3cc6-339f-48de-af82-745fc681a389</t>
  </si>
  <si>
    <t>ES.AI</t>
  </si>
  <si>
    <t>19e020d5-ef73-4963-8e2e-c664d1357bfc</t>
  </si>
  <si>
    <t>ES.CT</t>
  </si>
  <si>
    <t>da9411eb-b2b7-4de1-8b98-e2899e250018</t>
  </si>
  <si>
    <t>ES.EB</t>
  </si>
  <si>
    <t>cf8e8c95-7343-4f1d-99c6-ebb5fea5ef37</t>
  </si>
  <si>
    <t>ES.ES</t>
  </si>
  <si>
    <t>8460e4f8-f572-4338-8b6a-55c078237742</t>
  </si>
  <si>
    <t>ES.O</t>
  </si>
  <si>
    <t>98793e38-f2aa-491a-a5d5-8659d056ec75</t>
  </si>
  <si>
    <t>ES.OTH</t>
  </si>
  <si>
    <t>295f54a6-6576-4fd2-8b2d-be5f82442c56</t>
  </si>
  <si>
    <t>ES.R</t>
  </si>
  <si>
    <t>f783216d-6b95-4569-9cbb-c84c07eb8888</t>
  </si>
  <si>
    <t>Energy Sources</t>
  </si>
  <si>
    <t>c76c623e-8cf4-40e4-a627-48c5cdde151d</t>
  </si>
  <si>
    <t>ES.II</t>
  </si>
  <si>
    <t>81b53cbf-06fb-45ed-aef5-66bc411b0bcd</t>
  </si>
  <si>
    <t>FiveG Internet</t>
  </si>
  <si>
    <t>FG</t>
  </si>
  <si>
    <t>9ef1b0e5-de98-4f37-8623-6231d278fea9</t>
  </si>
  <si>
    <t>FG.ERI</t>
  </si>
  <si>
    <t>240fa55d-d8c5-46b1-82dd-e830b961aa26</t>
  </si>
  <si>
    <t>FG.FRI</t>
  </si>
  <si>
    <t>7f365ecf-113f-4c74-a62a-5e4f3f8f2e25</t>
  </si>
  <si>
    <t>FG.FM</t>
  </si>
  <si>
    <t>1f0b4b57-3d35-4b62-aa3a-62148bc92c4c</t>
  </si>
  <si>
    <t>FG.HRI</t>
  </si>
  <si>
    <t>dd08c197-18f2-45f7-8b30-aeb7a315a0bc</t>
  </si>
  <si>
    <t>FG.ORI</t>
  </si>
  <si>
    <t>179d1cb5-0768-4546-83de-602a0389fde1</t>
  </si>
  <si>
    <t>FG.PRI</t>
  </si>
  <si>
    <t>4a25cb33-9335-4099-b482-724f702114e4</t>
  </si>
  <si>
    <t>FG.SRI</t>
  </si>
  <si>
    <t>f7c3b204-6e08-48c2-bed0-aa804c7d8a5f</t>
  </si>
  <si>
    <t>FG.AI</t>
  </si>
  <si>
    <t>a3dd2626-d72d-49d2-a54c-365064928ce7</t>
  </si>
  <si>
    <t>FG.CT</t>
  </si>
  <si>
    <t>3145fe1e-b347-42aa-8463-038c33717da7</t>
  </si>
  <si>
    <t>FG.EB</t>
  </si>
  <si>
    <t>d6e2807b-5fc1-4a36-999b-0b44f24d5a4d</t>
  </si>
  <si>
    <t>FG.ES</t>
  </si>
  <si>
    <t>6a2f59cd-c52c-427a-b247-95cc9f99ded6</t>
  </si>
  <si>
    <t>FG.O</t>
  </si>
  <si>
    <t>68dfc794-30bc-4a12-87e6-d215e1f8a23b</t>
  </si>
  <si>
    <t>FG.OTH</t>
  </si>
  <si>
    <t>97ef6686-5c03-4c2a-932c-77a8da1fe117</t>
  </si>
  <si>
    <t>FG.R</t>
  </si>
  <si>
    <t>8b4fe7e2-752f-4735-a67a-b7c09573498b</t>
  </si>
  <si>
    <t>Navigation 2.0</t>
  </si>
  <si>
    <t>NT</t>
  </si>
  <si>
    <t>dc10f2a5-ccac-489c-8cbb-adc032b0469e</t>
  </si>
  <si>
    <t>NT.ERI</t>
  </si>
  <si>
    <t>e436f000-cdff-4d52-952e-794f6403a9dd</t>
  </si>
  <si>
    <t>NT.FRI</t>
  </si>
  <si>
    <t>7f1d15ae-9277-4784-9222-79dc95fd2e4d</t>
  </si>
  <si>
    <t>NT.FM</t>
  </si>
  <si>
    <t>cb5248fd-a16d-4089-84ab-6560ea82b0c3</t>
  </si>
  <si>
    <t>NT.HRI</t>
  </si>
  <si>
    <t>9a1e8f2e-40ae-47b8-9f7d-e916b297ccb9</t>
  </si>
  <si>
    <t>NT.ORI</t>
  </si>
  <si>
    <t>d4f6d354-32bc-4f86-a82b-7f37b1e33f8d</t>
  </si>
  <si>
    <t>NT.PRI</t>
  </si>
  <si>
    <t>b77667fa-5c89-4a7d-80c1-a352569ca92b</t>
  </si>
  <si>
    <t>NT.SRI</t>
  </si>
  <si>
    <t>fc80a852-b840-4f43-af38-4adeae0ff7df</t>
  </si>
  <si>
    <t>NT.AI</t>
  </si>
  <si>
    <t>f939a4c2-f102-442b-a8b1-bf2fdf5d2f3d</t>
  </si>
  <si>
    <t>NT.CT</t>
  </si>
  <si>
    <t>c37ed422-7dba-4cdf-82f1-63b0aae5530d</t>
  </si>
  <si>
    <t>NT.EB</t>
  </si>
  <si>
    <t>3caf3eed-45ea-40df-8c69-9355a6459849</t>
  </si>
  <si>
    <t>NT.ES</t>
  </si>
  <si>
    <t>658c9f18-bec3-408a-8959-a5bb461fcbb0</t>
  </si>
  <si>
    <t>NT.O</t>
  </si>
  <si>
    <t>5c324066-e4b4-4a32-ba54-ca0d4fd064f1</t>
  </si>
  <si>
    <t>NT.OTH</t>
  </si>
  <si>
    <t>d661b920-0766-463e-bd5f-c8594f30ab14</t>
  </si>
  <si>
    <t>NT.R</t>
  </si>
  <si>
    <t>a9d6d742-1e98-4d4b-bd7d-4f2535af8031</t>
  </si>
  <si>
    <t>OC</t>
  </si>
  <si>
    <t>8a00ec90-3dbd-49a2-9f8c-bc2e99040984</t>
  </si>
  <si>
    <t>OC.ERI</t>
  </si>
  <si>
    <t>decb892c-166f-415d-a731-fcdad0ca8819</t>
  </si>
  <si>
    <t>OC.FRI</t>
  </si>
  <si>
    <t>b239e3b6-1dac-45e4-a9b2-882ad143b7bb</t>
  </si>
  <si>
    <t>OC.FM</t>
  </si>
  <si>
    <t>c679a7b3-229f-4ec3-a1c9-23e6070a20c1</t>
  </si>
  <si>
    <t>OC.HRI</t>
  </si>
  <si>
    <t>9b9df2e4-9c1e-4899-b027-e0ad35fe15d6</t>
  </si>
  <si>
    <t>OC.ORI</t>
  </si>
  <si>
    <t>65434b4e-57f2-47ab-91e2-57dfbdf4737b</t>
  </si>
  <si>
    <t>OC.PRI</t>
  </si>
  <si>
    <t>872872fe-23cc-4206-9b69-b8598032b9fd</t>
  </si>
  <si>
    <t>OC.SRI</t>
  </si>
  <si>
    <t>252f8032-1405-4034-8c44-0a960585e0dc</t>
  </si>
  <si>
    <t>OC.AI</t>
  </si>
  <si>
    <t>4ed8cc30-6812-411b-a2aa-99bdd99858b3</t>
  </si>
  <si>
    <t>OC.CT</t>
  </si>
  <si>
    <t>9e9ecd89-17c1-431b-8dda-592f30e6ae65</t>
  </si>
  <si>
    <t>OC.EB</t>
  </si>
  <si>
    <t>5963f31b-3768-47e1-9750-d01dd61b3c3d</t>
  </si>
  <si>
    <t>OC.ES</t>
  </si>
  <si>
    <t>3dc8f525-028a-4fc9-ab44-39c3a7779b06</t>
  </si>
  <si>
    <t>OC.O</t>
  </si>
  <si>
    <t>dd524070-3d68-45d7-a31b-9f8087cd4cf4</t>
  </si>
  <si>
    <t>OC.OTH</t>
  </si>
  <si>
    <t>8b0d0691-c269-447e-85fa-8df0cfa88ef9</t>
  </si>
  <si>
    <t>OC.R</t>
  </si>
  <si>
    <t>a15f46ed-9016-4594-92c9-5afc50d0ac90</t>
  </si>
  <si>
    <t>Optics</t>
  </si>
  <si>
    <t>O</t>
  </si>
  <si>
    <t>9ffdb2b3-28ed-4861-bb1b-4cacd53b41b6</t>
  </si>
  <si>
    <t>O.II</t>
  </si>
  <si>
    <t>cac35e50-3128-4e56-947d-579007f051e0</t>
  </si>
  <si>
    <t>Others</t>
  </si>
  <si>
    <t>OTH</t>
  </si>
  <si>
    <t>c6c02a08-b2e2-4e50-aad0-e722625452f5</t>
  </si>
  <si>
    <t>OTH.II</t>
  </si>
  <si>
    <t>81ed4d3b-6f1d-43d5-8a14-11556d82b1e1</t>
  </si>
  <si>
    <t>Robotics</t>
  </si>
  <si>
    <t>R</t>
  </si>
  <si>
    <t>e8e4cf20-08c4-4e11-8565-dfa983859584</t>
  </si>
  <si>
    <t>R.II</t>
  </si>
  <si>
    <t>4228bd51-9dcb-48a2-9ac0-3041c9013d11</t>
  </si>
  <si>
    <t>Option:</t>
  </si>
  <si>
    <t>Option 1</t>
  </si>
  <si>
    <t>REFERENCE</t>
  </si>
  <si>
    <t xml:space="preserve">      Technology Input Index</t>
  </si>
  <si>
    <t>AD.CT.II</t>
  </si>
  <si>
    <t>POVS</t>
  </si>
  <si>
    <t>68029303-307b-44f3-a55a-b5e6bbb1afee</t>
  </si>
  <si>
    <t>AD.ES.II</t>
  </si>
  <si>
    <t>0941f8e9-fcea-4c06-81c9-e91cffb4f1a3</t>
  </si>
  <si>
    <t>AD.O.II</t>
  </si>
  <si>
    <t>3bf5c154-f1a4-42e7-8b90-ccd47aa81edd</t>
  </si>
  <si>
    <t>ES.AI.II</t>
  </si>
  <si>
    <t>87d13640-c0c3-485c-abd6-10ccf2c2fe3d</t>
  </si>
  <si>
    <t>ES.EB.II</t>
  </si>
  <si>
    <t>150487be-d32c-468e-b2ba-932e9464b4e5</t>
  </si>
  <si>
    <t>ES.ES.II</t>
  </si>
  <si>
    <t>d3e60a1f-acb4-4cd4-ae6c-d9cd39c06ad5</t>
  </si>
  <si>
    <t>ES.OTH.II</t>
  </si>
  <si>
    <t>08befaeb-3bb6-4820-9542-a147508e582c</t>
  </si>
  <si>
    <t>Financial Distribution</t>
  </si>
  <si>
    <t>FinDistrib</t>
  </si>
  <si>
    <t>6af0c401-27bb-456c-86f2-8c4cb289a85c</t>
  </si>
  <si>
    <t xml:space="preserve">   AD : AD</t>
  </si>
  <si>
    <t>FinDistrib.AD</t>
  </si>
  <si>
    <t>5de1c326-7564-4794-8309-a933ea98fb6b</t>
  </si>
  <si>
    <t>FinDistrib.ES</t>
  </si>
  <si>
    <t>b578e17a-dc12-489f-9082-57d62136241f</t>
  </si>
  <si>
    <t xml:space="preserve">   FG : FG</t>
  </si>
  <si>
    <t>FinDistrib.FG</t>
  </si>
  <si>
    <t>6c253146-5956-4cb4-b73f-b86f8cc5ec61</t>
  </si>
  <si>
    <t xml:space="preserve">   NT : NT</t>
  </si>
  <si>
    <t>FinDistrib.NT</t>
  </si>
  <si>
    <t>f3db4e5c-96c2-4c37-8434-71b9087723e1</t>
  </si>
  <si>
    <t xml:space="preserve">   OC : OC</t>
  </si>
  <si>
    <t>FinDistrib.OC</t>
  </si>
  <si>
    <t>0506699c-2d8b-4f3b-89a6-e331c36a10f7</t>
  </si>
  <si>
    <t>FG.AI.II</t>
  </si>
  <si>
    <t>ca866ddd-e074-42bb-b0f2-df80cf203561</t>
  </si>
  <si>
    <t>FG.CT.II</t>
  </si>
  <si>
    <t>ba76ff2f-5508-4461-9750-cb8c19018922</t>
  </si>
  <si>
    <t>FG.ES.II</t>
  </si>
  <si>
    <t>64b91183-95c7-4360-942e-0caea6f69c43</t>
  </si>
  <si>
    <t>FG.R.II</t>
  </si>
  <si>
    <t>e045071d-30d8-49a7-a1a1-676d623517e1</t>
  </si>
  <si>
    <t>NT.AI.II</t>
  </si>
  <si>
    <t>fbb3237a-b2f8-4098-89d1-c119e1b25d53</t>
  </si>
  <si>
    <t>NT.CT.II</t>
  </si>
  <si>
    <t>43309403-1abe-44cd-8af0-e18a3e15610d</t>
  </si>
  <si>
    <t>NT.ES.II</t>
  </si>
  <si>
    <t>f9701749-b435-40b1-a46f-2f4dd219ef95</t>
  </si>
  <si>
    <t>NT.OTH.II</t>
  </si>
  <si>
    <t>9c7df88a-773a-459d-ad4f-3ce92d94c6d3</t>
  </si>
  <si>
    <t>NT.R.II</t>
  </si>
  <si>
    <t>90128b45-d36b-4dc3-af7a-17ffe0801b49</t>
  </si>
  <si>
    <t>OptoQuantum</t>
  </si>
  <si>
    <t>OC.AI.II</t>
  </si>
  <si>
    <t>3d6b80c3-3623-4ef0-a58c-4bcce4c4cf13</t>
  </si>
  <si>
    <t>OC.EB.II</t>
  </si>
  <si>
    <t>9fa4f0e4-e81e-49f3-ac0e-0d4e9e50c0f3</t>
  </si>
  <si>
    <t>OC.ES.II</t>
  </si>
  <si>
    <t>7e8d5bf3-fbde-4015-b86d-390741f13945</t>
  </si>
  <si>
    <t>OC.O.II</t>
  </si>
  <si>
    <t>4a8d3e0f-3df3-4936-988c-3c007fcfd8ed</t>
  </si>
  <si>
    <t>OC.OTH.II</t>
  </si>
  <si>
    <t>d6aa99f9-f622-4e0d-8059-bc62548aa7d5</t>
  </si>
  <si>
    <t>FinDistrib\option_1</t>
  </si>
  <si>
    <t>NE</t>
  </si>
  <si>
    <t>FinDistrib.AD\option_1</t>
  </si>
  <si>
    <t>Economical Risk Index</t>
  </si>
  <si>
    <t>FinDistrib.AD\ERI\\option_1</t>
  </si>
  <si>
    <t>NP</t>
  </si>
  <si>
    <t>Force Majeure</t>
  </si>
  <si>
    <t>FinDistrib.AD\FM\\option_1</t>
  </si>
  <si>
    <t>FInancial risk Index</t>
  </si>
  <si>
    <t>FinDistrib.AD\FRI\\option_1</t>
  </si>
  <si>
    <t>HR Risk Index</t>
  </si>
  <si>
    <t>FinDistrib.AD\HRI\\option_1</t>
  </si>
  <si>
    <t>Operational Risk Index</t>
  </si>
  <si>
    <t>FinDistrib.AD\ORI\\option_1</t>
  </si>
  <si>
    <t>Political Risk Index</t>
  </si>
  <si>
    <t>FinDistrib.AD\PRI\\option_1</t>
  </si>
  <si>
    <t>Scientific Risk Index</t>
  </si>
  <si>
    <t>FinDistrib.AD\SRI\\option_1</t>
  </si>
  <si>
    <t>FinDistrib.AD.AI</t>
  </si>
  <si>
    <t>FinDistrib.AD.AI\option_1</t>
  </si>
  <si>
    <t>Technology Input Index</t>
  </si>
  <si>
    <t>FinDistrib.AD.AI\II\\option_1</t>
  </si>
  <si>
    <t>FinDistrib.AD.CT</t>
  </si>
  <si>
    <t>FinDistrib.AD.CT\option_1</t>
  </si>
  <si>
    <t>FinDistrib.AD.CT\II\\option_1</t>
  </si>
  <si>
    <t>FinDistrib.AD.EB</t>
  </si>
  <si>
    <t>FinDistrib.AD.EB\option_1</t>
  </si>
  <si>
    <t>FinDistrib.AD.EB\II\\option_1</t>
  </si>
  <si>
    <t>FinDistrib.AD.ES</t>
  </si>
  <si>
    <t>FinDistrib.AD.ES\option_1</t>
  </si>
  <si>
    <t>FinDistrib.AD.ES\II\\option_1</t>
  </si>
  <si>
    <t>FinDistrib.AD.O</t>
  </si>
  <si>
    <t>FinDistrib.AD.O\option_1</t>
  </si>
  <si>
    <t>FinDistrib.AD.O\II\\option_1</t>
  </si>
  <si>
    <t>FinDistrib.AD.OTH</t>
  </si>
  <si>
    <t>FinDistrib.AD.OTH\option_1</t>
  </si>
  <si>
    <t>FinDistrib.AD.OTH\II\\option_1</t>
  </si>
  <si>
    <t>FinDistrib.AD.R</t>
  </si>
  <si>
    <t>FinDistrib.AD.R\option_1</t>
  </si>
  <si>
    <t>FinDistrib.AD.R\II\\option_1</t>
  </si>
  <si>
    <t>FinDistrib.ES\option_1</t>
  </si>
  <si>
    <t>FinDistrib.ES\ERI\\option_1</t>
  </si>
  <si>
    <t>FinDistrib.ES\FM\\option_1</t>
  </si>
  <si>
    <t>FinDistrib.ES\FRI\\option_1</t>
  </si>
  <si>
    <t>FinDistrib.ES\HRI\\option_1</t>
  </si>
  <si>
    <t>FinDistrib.ES\ORI\\option_1</t>
  </si>
  <si>
    <t>FinDistrib.ES\PRI\\option_1</t>
  </si>
  <si>
    <t>FinDistrib.ES\SRI\\option_1</t>
  </si>
  <si>
    <t>FinDistrib.ES.AI</t>
  </si>
  <si>
    <t>FinDistrib.ES.AI\option_1</t>
  </si>
  <si>
    <t>FinDistrib.ES.AI\II\\option_1</t>
  </si>
  <si>
    <t>FinDistrib.ES.CT</t>
  </si>
  <si>
    <t>FinDistrib.ES.CT\option_1</t>
  </si>
  <si>
    <t>FinDistrib.ES.CT\II\\option_1</t>
  </si>
  <si>
    <t>FinDistrib.ES.EB</t>
  </si>
  <si>
    <t>FinDistrib.ES.EB\option_1</t>
  </si>
  <si>
    <t>FinDistrib.ES.EB\II\\option_1</t>
  </si>
  <si>
    <t>FinDistrib.ES.ES</t>
  </si>
  <si>
    <t>FinDistrib.ES.ES\option_1</t>
  </si>
  <si>
    <t>FinDistrib.ES.ES\II\\option_1</t>
  </si>
  <si>
    <t>FinDistrib.ES.O</t>
  </si>
  <si>
    <t>FinDistrib.ES.O\option_1</t>
  </si>
  <si>
    <t>FinDistrib.ES.O\II\\option_1</t>
  </si>
  <si>
    <t>FinDistrib.ES.OTH</t>
  </si>
  <si>
    <t>FinDistrib.ES.OTH\option_1</t>
  </si>
  <si>
    <t>FinDistrib.ES.OTH\II\\option_1</t>
  </si>
  <si>
    <t>FinDistrib.ES.R</t>
  </si>
  <si>
    <t>FinDistrib.ES.R\option_1</t>
  </si>
  <si>
    <t>FinDistrib.ES.R\II\\option_1</t>
  </si>
  <si>
    <t>FinDistrib.FG\option_1</t>
  </si>
  <si>
    <t>FinDistrib.FG\ERI\\option_1</t>
  </si>
  <si>
    <t>FinDistrib.FG\FM\\option_1</t>
  </si>
  <si>
    <t>FinDistrib.FG\FRI\\option_1</t>
  </si>
  <si>
    <t>FinDistrib.FG\HRI\\option_1</t>
  </si>
  <si>
    <t>FinDistrib.FG\ORI\\option_1</t>
  </si>
  <si>
    <t>FinDistrib.FG\PRI\\option_1</t>
  </si>
  <si>
    <t>FinDistrib.FG\SRI\\option_1</t>
  </si>
  <si>
    <t>FinDistrib.FG.AI</t>
  </si>
  <si>
    <t>FinDistrib.FG.AI\option_1</t>
  </si>
  <si>
    <t>FinDistrib.FG.AI\II\\option_1</t>
  </si>
  <si>
    <t>FinDistrib.FG.CT</t>
  </si>
  <si>
    <t>FinDistrib.FG.CT\option_1</t>
  </si>
  <si>
    <t>FinDistrib.FG.CT\II\\option_1</t>
  </si>
  <si>
    <t>FinDistrib.FG.EB</t>
  </si>
  <si>
    <t>FinDistrib.FG.EB\option_1</t>
  </si>
  <si>
    <t>FinDistrib.FG.EB\II\\option_1</t>
  </si>
  <si>
    <t>FinDistrib.FG.ES</t>
  </si>
  <si>
    <t>FinDistrib.FG.ES\option_1</t>
  </si>
  <si>
    <t>FinDistrib.FG.ES\II\\option_1</t>
  </si>
  <si>
    <t>FinDistrib.FG.O</t>
  </si>
  <si>
    <t>FinDistrib.FG.O\option_1</t>
  </si>
  <si>
    <t>FinDistrib.FG.O\II\\option_1</t>
  </si>
  <si>
    <t>FinDistrib.FG.OTH</t>
  </si>
  <si>
    <t>FinDistrib.FG.OTH\option_1</t>
  </si>
  <si>
    <t>FinDistrib.FG.OTH\II\\option_1</t>
  </si>
  <si>
    <t>FinDistrib.FG.R</t>
  </si>
  <si>
    <t>FinDistrib.FG.R\option_1</t>
  </si>
  <si>
    <t>FinDistrib.FG.R\II\\option_1</t>
  </si>
  <si>
    <t>FinDistrib.NT\option_1</t>
  </si>
  <si>
    <t>FinDistrib.NT\ERI\\option_1</t>
  </si>
  <si>
    <t>FinDistrib.NT\FM\\option_1</t>
  </si>
  <si>
    <t>FinDistrib.NT\FRI\\option_1</t>
  </si>
  <si>
    <t>FinDistrib.NT\HRI\\option_1</t>
  </si>
  <si>
    <t>FinDistrib.NT\ORI\\option_1</t>
  </si>
  <si>
    <t>FinDistrib.NT\PRI\\option_1</t>
  </si>
  <si>
    <t>FinDistrib.NT\SRI\\option_1</t>
  </si>
  <si>
    <t>FinDistrib.NT.AI</t>
  </si>
  <si>
    <t>FinDistrib.NT.AI\option_1</t>
  </si>
  <si>
    <t>FinDistrib.NT.AI\II\\option_1</t>
  </si>
  <si>
    <t>FinDistrib.NT.CT</t>
  </si>
  <si>
    <t>FinDistrib.NT.CT\option_1</t>
  </si>
  <si>
    <t>FinDistrib.NT.CT\II\\option_1</t>
  </si>
  <si>
    <t>FinDistrib.NT.EB</t>
  </si>
  <si>
    <t>FinDistrib.NT.EB\option_1</t>
  </si>
  <si>
    <t>FinDistrib.NT.EB\II\\option_1</t>
  </si>
  <si>
    <t>FinDistrib.NT.ES</t>
  </si>
  <si>
    <t>FinDistrib.NT.ES\option_1</t>
  </si>
  <si>
    <t>FinDistrib.NT.ES\II\\option_1</t>
  </si>
  <si>
    <t>FinDistrib.NT.O</t>
  </si>
  <si>
    <t>FinDistrib.NT.O\option_1</t>
  </si>
  <si>
    <t>FinDistrib.NT.O\II\\option_1</t>
  </si>
  <si>
    <t>FinDistrib.NT.OTH</t>
  </si>
  <si>
    <t>FinDistrib.NT.OTH\option_1</t>
  </si>
  <si>
    <t>FinDistrib.NT.OTH\II\\option_1</t>
  </si>
  <si>
    <t>FinDistrib.NT.R</t>
  </si>
  <si>
    <t>FinDistrib.NT.R\option_1</t>
  </si>
  <si>
    <t>FinDistrib.NT.R\II\\option_1</t>
  </si>
  <si>
    <t>FinDistrib.OC\option_1</t>
  </si>
  <si>
    <t>FinDistrib.OC\ERI\\option_1</t>
  </si>
  <si>
    <t>FinDistrib.OC\FM\\option_1</t>
  </si>
  <si>
    <t>FinDistrib.OC\FRI\\option_1</t>
  </si>
  <si>
    <t>FinDistrib.OC\HRI\\option_1</t>
  </si>
  <si>
    <t>FinDistrib.OC\ORI\\option_1</t>
  </si>
  <si>
    <t>FinDistrib.OC\PRI\\option_1</t>
  </si>
  <si>
    <t>FinDistrib.OC\SRI\\option_1</t>
  </si>
  <si>
    <t>FinDistrib.OC.AI</t>
  </si>
  <si>
    <t>FinDistrib.OC.AI\option_1</t>
  </si>
  <si>
    <t>FinDistrib.OC.AI\II\\option_1</t>
  </si>
  <si>
    <t>FinDistrib.OC.CT</t>
  </si>
  <si>
    <t>FinDistrib.OC.CT\option_1</t>
  </si>
  <si>
    <t>FinDistrib.OC.CT\II\\option_1</t>
  </si>
  <si>
    <t>FinDistrib.OC.EB</t>
  </si>
  <si>
    <t>FinDistrib.OC.EB\option_1</t>
  </si>
  <si>
    <t>FinDistrib.OC.EB\II\\option_1</t>
  </si>
  <si>
    <t>FinDistrib.OC.ES</t>
  </si>
  <si>
    <t>FinDistrib.OC.ES\option_1</t>
  </si>
  <si>
    <t>FinDistrib.OC.ES\II\\option_1</t>
  </si>
  <si>
    <t>FinDistrib.OC.O</t>
  </si>
  <si>
    <t>FinDistrib.OC.O\option_1</t>
  </si>
  <si>
    <t>FinDistrib.OC.O\II\\option_1</t>
  </si>
  <si>
    <t>FinDistrib.OC.OTH</t>
  </si>
  <si>
    <t>FinDistrib.OC.OTH\option_1</t>
  </si>
  <si>
    <t>FinDistrib.OC.OTH\II\\option_1</t>
  </si>
  <si>
    <t>FinDistrib.OC.R</t>
  </si>
  <si>
    <t>FinDistrib.OC.R\option_1</t>
  </si>
  <si>
    <t>FinDistrib.OC.R\II\\option_1</t>
  </si>
  <si>
    <t>AD.AI.II</t>
  </si>
  <si>
    <t>f54b96fd-c672-4a80-94b3-a1dfa24823f1</t>
  </si>
  <si>
    <t>AD.EB.II</t>
  </si>
  <si>
    <t>319c4397-0b2e-4051-87fa-538787e3a688</t>
  </si>
  <si>
    <t>AD.OTH.II</t>
  </si>
  <si>
    <t>56066d74-bfdc-4635-8a2d-1a0b4818538c</t>
  </si>
  <si>
    <t>AD.R.II</t>
  </si>
  <si>
    <t>f0a347da-230c-4b70-9d28-022cd2171daf</t>
  </si>
  <si>
    <t>ES.CT.II</t>
  </si>
  <si>
    <t>f2701446-bc7e-4adb-85e5-b8c7d69d6988</t>
  </si>
  <si>
    <t>ES.O.II</t>
  </si>
  <si>
    <t>c8e339ac-3d16-4ac4-bcb9-81595ea796c6</t>
  </si>
  <si>
    <t>ES.R.II</t>
  </si>
  <si>
    <t>24c825dc-1a7a-42ba-91a9-eed599e07dd6</t>
  </si>
  <si>
    <t>FG.EB.II</t>
  </si>
  <si>
    <t>bc554327-e632-4fd4-9edd-2ea27f883ef4</t>
  </si>
  <si>
    <t>FG.O.II</t>
  </si>
  <si>
    <t>63bb1a89-5116-4efa-a442-b2953589c2e2</t>
  </si>
  <si>
    <t>FG.OTH.II</t>
  </si>
  <si>
    <t>fea5bf3a-8575-4a38-87f4-50f69d6b057e</t>
  </si>
  <si>
    <t>NT.EB.II</t>
  </si>
  <si>
    <t>c15c6992-02d5-4d35-a060-fdeb8f0c24bf</t>
  </si>
  <si>
    <t>NT.O.II</t>
  </si>
  <si>
    <t>02c53480-f24b-4440-bd6f-085d68c66cfa</t>
  </si>
  <si>
    <t>OC.CT.II</t>
  </si>
  <si>
    <t>a30fb986-5e04-4803-a759-0408d4b125a8</t>
  </si>
  <si>
    <t>OC.R.II</t>
  </si>
  <si>
    <t>75436d9c-3a44-4faa-a528-4b2360987577</t>
  </si>
  <si>
    <t>772cafd8-9742-4bc3-8d51-699d5d4d3ba4</t>
  </si>
  <si>
    <t>0fc970fc-6c8a-4817-a145-9cb5a44946fe</t>
  </si>
  <si>
    <t>008e3f39-d15a-4070-a0b9-1b75f90afd8a</t>
  </si>
  <si>
    <t>0aeb107a-16a5-4f93-9feb-c74755470e0a</t>
  </si>
  <si>
    <t>abd24d39-65c5-41f8-a85b-437af354f6fd</t>
  </si>
  <si>
    <t>fc7746c6-08e4-4d5f-a581-fbc1510553e1</t>
  </si>
  <si>
    <t>6c2d2e71-f05f-4a77-88b0-9ad9d6e6ea27</t>
  </si>
  <si>
    <t>e87d6edd-31cc-47f8-845f-82f19d49e43a</t>
  </si>
  <si>
    <t>e8a2ba10-fdf9-4529-8b22-82c3eee957f9</t>
  </si>
  <si>
    <t>9a1df6d4-d6f3-4a5e-a2a4-f0869bbe50db</t>
  </si>
  <si>
    <t>5f717e35-bb4a-48c2-ac73-9f7628ed04f5</t>
  </si>
  <si>
    <t>bb104e33-f69a-4092-99c9-aad7fb8ffe5c</t>
  </si>
  <si>
    <t>e402c356-962b-48d7-9691-8cf8f4933ec7</t>
  </si>
  <si>
    <t>17c1aa23-66b3-4f93-81d5-d71799687e6d</t>
  </si>
  <si>
    <t>8ce8df92-531e-4d05-92a1-48bb9b518547</t>
  </si>
  <si>
    <t>50774079-2c22-48a8-90f0-f3a7f7ed0881</t>
  </si>
  <si>
    <t>5776e7c3-c844-4379-8b19-64dfe11dec4a</t>
  </si>
  <si>
    <t>169659ca-e0ce-4d3c-a881-9c63022bff86</t>
  </si>
  <si>
    <t>ae575940-9107-4650-b41e-3a2cea001ad8</t>
  </si>
  <si>
    <t>2b11066e-5fb6-46e9-8725-ee7c742fb0bf</t>
  </si>
  <si>
    <t>518755e9-5ccb-40db-b83a-5f5b3aadd44d</t>
  </si>
  <si>
    <t>37631a9f-7752-4bce-8c66-2c274957c99d</t>
  </si>
  <si>
    <t>7b5ba156-a4cb-4e66-adaf-a89863eb9f08</t>
  </si>
  <si>
    <t>27732b4a-c9b5-4559-b9b8-59ba129df5ca</t>
  </si>
  <si>
    <t>cad18a73-20cc-4468-983e-2f3183891c22</t>
  </si>
  <si>
    <t>031e4436-69db-434a-99fc-83a03cb22d0d</t>
  </si>
  <si>
    <t>f160d268-224a-4dc0-bf3c-c498397891fb</t>
  </si>
  <si>
    <t>125e258a-166c-47d7-ac93-c972cb268869</t>
  </si>
  <si>
    <t>3ba31623-f9bd-4b91-abe3-ee70824b1d95</t>
  </si>
  <si>
    <t>017706d0-29d3-4dd9-932b-73d87299f226</t>
  </si>
  <si>
    <t>2beb1c8d-86c9-41c1-9f58-c38d4da08a95</t>
  </si>
  <si>
    <t>39731027-2bc5-4bf0-8c22-7d99006cccb4</t>
  </si>
  <si>
    <t>899a3f35-5f2a-4110-b6b5-23aeebdce6ac</t>
  </si>
  <si>
    <t>0997614a-04bb-49ac-9694-5a0be4c56e2b</t>
  </si>
  <si>
    <t>d609c568-c4d5-446c-8b18-44415e3ffa6d</t>
  </si>
  <si>
    <t>356b3bd9-bdfe-4289-8709-7b4cf861824f</t>
  </si>
  <si>
    <t>6ab92f30-fef5-4cc0-867b-87acf13a4625</t>
  </si>
  <si>
    <t>6c10dd39-0836-46a1-9409-87c5db77646e</t>
  </si>
  <si>
    <t>7cdf8050-61bc-4537-813e-7d7466b559b6</t>
  </si>
  <si>
    <t>a3b0d68c-2269-4d26-b595-a7026ddfd7fc</t>
  </si>
  <si>
    <t>b98346e6-489b-49f4-8edb-9cf42ebe9da9</t>
  </si>
  <si>
    <t>81f2b0e2-3f7e-4523-bca2-6fe10ae63ae5</t>
  </si>
  <si>
    <t>96263c80-8cb7-40ed-98be-d54a152603dd</t>
  </si>
  <si>
    <t>ee02a7ac-134a-4dc2-8e36-38c593bb9545</t>
  </si>
  <si>
    <t>8598db49-5bc3-48aa-be25-16cf82fade94</t>
  </si>
  <si>
    <t>4d4a5e05-dfef-46b4-af99-c0f960ea49f5</t>
  </si>
  <si>
    <t>b10baa88-6b65-4c0f-9d19-93aa739415dd</t>
  </si>
  <si>
    <t>4b02146c-2857-41f3-98f3-be7a384d44c6</t>
  </si>
  <si>
    <t>53153f96-cedf-4d3a-98ac-a614489f40dc</t>
  </si>
  <si>
    <t>c020bff2-56bd-4db4-8e74-df42d27afa57</t>
  </si>
  <si>
    <t>853d89b2-9660-47bb-b95b-dbf3f4af4a39</t>
  </si>
  <si>
    <t>d433a287-73a5-4a03-b907-462b002a3df2</t>
  </si>
  <si>
    <t>937091f6-1f74-4bae-a68e-319dfb32c8e2</t>
  </si>
  <si>
    <t>0fca98cd-5a63-4cd6-bfec-148b050b9a39</t>
  </si>
  <si>
    <t>115f3dfd-ab7a-40be-9ee3-8a9655032695</t>
  </si>
  <si>
    <t>99d91864-abf2-4e7b-a9cf-631a9eaca88f</t>
  </si>
  <si>
    <t>c8b395d4-10d4-46a6-934a-2c9be605b2de</t>
  </si>
  <si>
    <t>2c2d6672-720b-435d-88d9-f93d34759750</t>
  </si>
  <si>
    <t>bfc1244e-d9e3-40dc-bc52-b734490245ed</t>
  </si>
  <si>
    <t>f2e808de-286b-41ba-b7e3-7baae02ba487</t>
  </si>
  <si>
    <t>6fbb1088-45cb-40f9-9349-55d1eb158596</t>
  </si>
  <si>
    <t>cdee0f94-b199-46a3-8fc5-fdbeb3e7f417</t>
  </si>
  <si>
    <t>2079eb0a-ef07-4645-a3ce-f09acc45d1da</t>
  </si>
  <si>
    <t>c975d793-bb1c-41ed-bf56-ea842bf40131</t>
  </si>
  <si>
    <t>6cad7564-644c-49a8-b002-d6c881b19c21</t>
  </si>
  <si>
    <t>c901020c-e42b-488a-9307-fcb61beb688f</t>
  </si>
  <si>
    <t>411c2c4e-8547-4dfd-b2de-14bb1788a19a</t>
  </si>
  <si>
    <t>1537b207-a2a5-4ebb-b2ca-35183f641932</t>
  </si>
  <si>
    <t>8c5d562f-3f73-4205-8dbc-25297bbfc522</t>
  </si>
  <si>
    <t>fbdf3c01-ab5f-4d89-82b6-35c19bdd33c4</t>
  </si>
  <si>
    <t>0b9b2a05-5340-4980-b514-23377e3fbbb5</t>
  </si>
  <si>
    <t>238011fc-b7b0-4e9a-995a-779b9195a6b6</t>
  </si>
  <si>
    <t>e58e585b-064b-4bd9-bce7-1c6e7cd5b95e</t>
  </si>
  <si>
    <t>78b11338-8fb3-4e87-9530-0d55cd71dadd</t>
  </si>
  <si>
    <t>338cda0c-c093-4043-a278-575f22e0dffd</t>
  </si>
  <si>
    <t>7f60ecd5-7944-44e3-a2c9-d16c8c407b43</t>
  </si>
  <si>
    <t>29167f14-e62c-4e32-b305-5e61e4083217</t>
  </si>
  <si>
    <t>08fb9f7d-79d9-42f9-a3fd-2b46c8713756</t>
  </si>
  <si>
    <t>e2cd6227-49a8-40ff-bb84-d809a1fa80b9</t>
  </si>
  <si>
    <t>287fc3ec-055a-4a9a-a7cb-70b60160dc08</t>
  </si>
  <si>
    <t>1b4f3036-d473-4786-b725-55f74149fbfb</t>
  </si>
  <si>
    <t>4268df68-04fd-4bf9-af17-6c6c86703069</t>
  </si>
  <si>
    <t>7e19f433-0d89-41a8-af80-4e7ffefb2891</t>
  </si>
  <si>
    <t>f6413d82-8dfa-49ed-b610-81ed853796f0</t>
  </si>
  <si>
    <t>ef72808a-98c7-4f64-8a08-17de59e9eede</t>
  </si>
  <si>
    <t>e2c6d1be-59ab-4539-b4fb-4c420465eff7</t>
  </si>
  <si>
    <t>ea78d991-503f-4d85-b77d-7213cb53e7b7</t>
  </si>
  <si>
    <t>07721318-f929-48e5-a8a4-050788e1187c</t>
  </si>
  <si>
    <t>966b91d7-f6cc-495a-ba5e-8e11224047c7</t>
  </si>
  <si>
    <t>d22ec875-587c-4cee-865b-e009b0dafdc0</t>
  </si>
  <si>
    <t>da3cb9f2-63aa-45d0-bb47-420d769dd828</t>
  </si>
  <si>
    <t>18005497-411f-4b7e-b225-64c844765b12</t>
  </si>
  <si>
    <t>a1f509bb-2f28-40a9-88d3-5568af2bfbef</t>
  </si>
  <si>
    <t>0eac2b8e-f73d-425c-8783-9cb1d84a5db0</t>
  </si>
  <si>
    <t>7b8af2c2-4bac-4ec0-afd6-27e624530eb8</t>
  </si>
  <si>
    <t>40e82e9a-b499-4e53-ab8c-b8e92234ae04</t>
  </si>
  <si>
    <t>7d5970f2-fecf-4ad0-ab20-06e584ab8c19</t>
  </si>
  <si>
    <t>958148fa-0ecf-4300-b747-525e98f22489</t>
  </si>
  <si>
    <t>ab2e129a-6800-48c3-be6a-98875ec095d2</t>
  </si>
  <si>
    <t>53cff670-8461-4290-a1bb-f29c5bd74aa1</t>
  </si>
  <si>
    <t>852e130f-b867-4670-9626-518cd0e74663</t>
  </si>
  <si>
    <t>4c6da3b6-5eba-41dc-ad5e-048164bddd8a</t>
  </si>
  <si>
    <t>0a77e88d-8e78-4df9-990e-3e29cec01a62</t>
  </si>
  <si>
    <t>f3d2c207-75ea-414f-bcdd-380e4fb44de0</t>
  </si>
  <si>
    <t>397ccf88-c248-4349-8b51-c121de47acdf</t>
  </si>
  <si>
    <t>cbb79910-d403-4d6f-b148-84a5d55efaee</t>
  </si>
  <si>
    <t>7db793ea-b6c3-43e3-b234-954021784b58</t>
  </si>
  <si>
    <t>251bf8ac-7344-4d92-be7b-24ebe2125e87</t>
  </si>
  <si>
    <t>732dafc0-02f7-4db6-8c9d-f75417575f17</t>
  </si>
  <si>
    <t>abcbbbf1-1272-402e-9703-1de34f776975</t>
  </si>
  <si>
    <t>7d6f9336-bde2-4ffa-a984-9954fad45805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</si>
</sst>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 _₽_-;\-* #,##0.00\ _₽_-;_-* &quot;-&quot;??\ _₽_-;_-@_-"/>
    <numFmt numFmtId="165" formatCode="0.0"/>
    <numFmt numFmtId="166" formatCode="_-* #,##0.0\ _₽_-;\-* #,##0.0\ _₽_-;_-* &quot;-&quot;??\ _₽_-;_-@_-"/>
    <numFmt numFmtId="167" formatCode="0.0000"/>
    <numFmt numFmtId="168" formatCode="0.000"/>
    <numFmt numFmtId="169" formatCode="_-* #,##0\ _₽_-;\-* #,##0\ _₽_-;_-* &quot;-&quot;??\ _₽_-;_-@_-"/>
    <numFmt numFmtId="170" formatCode="0.000000"/>
    <numFmt numFmtId="171" formatCode="_-* #,##0.0\ _₽_-;\-* #,##0.0\ _₽_-;_-* &quot;-&quot;?\ _₽_-;_-@_-"/>
    <numFmt numFmtId="172" formatCode="yyyy\-mm\-dd\ hh:mm:ss"/>
  </numFmts>
  <fonts count="36" x14ac:knownFonts="1">
    <font>
      <sz val="11"/>
      <color theme="1"/>
      <name val="Calibri"/>
      <family val="2"/>
      <charset val="204"/>
      <scheme val="minor"/>
    </font>
    <font>
      <sz val="11"/>
      <color rgb="FFFF0000"/>
      <name val="Calibri"/>
      <family val="2"/>
      <charset val="204"/>
      <scheme val="minor"/>
    </font>
    <font>
      <b/>
      <sz val="11"/>
      <color theme="1"/>
      <name val="Calibri"/>
      <family val="2"/>
      <charset val="204"/>
      <scheme val="minor"/>
    </font>
    <font>
      <sz val="10"/>
      <color theme="1"/>
      <name val="Calibri"/>
      <family val="2"/>
      <charset val="204"/>
      <scheme val="minor"/>
    </font>
    <font>
      <sz val="11"/>
      <color theme="1"/>
      <name val="Calibri"/>
      <family val="2"/>
      <charset val="204"/>
      <scheme val="minor"/>
    </font>
    <font>
      <sz val="11"/>
      <name val="Calibri"/>
      <family val="2"/>
      <charset val="204"/>
      <scheme val="minor"/>
    </font>
    <font>
      <b/>
      <sz val="11"/>
      <name val="Calibri"/>
      <family val="2"/>
      <charset val="204"/>
      <scheme val="minor"/>
    </font>
    <font>
      <sz val="10"/>
      <name val="Calibri"/>
      <family val="2"/>
      <charset val="204"/>
      <scheme val="minor"/>
    </font>
    <font>
      <b/>
      <sz val="11"/>
      <color rgb="FFFF0000"/>
      <name val="Calibri"/>
      <family val="2"/>
      <charset val="204"/>
      <scheme val="minor"/>
    </font>
    <font>
      <b/>
      <sz val="10"/>
      <name val="Calibri"/>
      <family val="2"/>
      <charset val="204"/>
      <scheme val="minor"/>
    </font>
    <font>
      <b/>
      <sz val="10"/>
      <color theme="1"/>
      <name val="Calibri"/>
      <family val="2"/>
      <charset val="204"/>
      <scheme val="minor"/>
    </font>
    <font>
      <b/>
      <sz val="9"/>
      <name val="Calibri"/>
      <family val="2"/>
      <charset val="204"/>
      <scheme val="minor"/>
    </font>
    <font>
      <sz val="8"/>
      <name val="Calibri"/>
      <family val="2"/>
      <charset val="204"/>
      <scheme val="minor"/>
    </font>
    <font>
      <sz val="10"/>
      <color rgb="FFFF0000"/>
      <name val="Calibri"/>
      <family val="2"/>
      <charset val="204"/>
      <scheme val="minor"/>
    </font>
    <font>
      <b/>
      <sz val="10"/>
      <color rgb="FFFF0000"/>
      <name val="Calibri"/>
      <family val="2"/>
      <charset val="204"/>
      <scheme val="minor"/>
    </font>
    <font>
      <sz val="11"/>
      <color theme="0"/>
      <name val="Calibri"/>
      <family val="2"/>
      <charset val="204"/>
      <scheme val="minor"/>
    </font>
    <font>
      <i/>
      <sz val="11"/>
      <color theme="1"/>
      <name val="Calibri"/>
      <family val="2"/>
      <charset val="204"/>
      <scheme val="minor"/>
    </font>
    <font>
      <i/>
      <sz val="11"/>
      <name val="Calibri"/>
      <family val="2"/>
      <charset val="204"/>
      <scheme val="minor"/>
    </font>
    <font>
      <b/>
      <i/>
      <sz val="11"/>
      <color theme="1"/>
      <name val="Calibri"/>
      <family val="2"/>
      <charset val="204"/>
      <scheme val="minor"/>
    </font>
    <font>
      <b/>
      <sz val="8"/>
      <color theme="1"/>
      <name val="Calibri"/>
      <family val="2"/>
      <charset val="204"/>
      <scheme val="minor"/>
    </font>
    <font>
      <sz val="11"/>
      <color rgb="FF000000"/>
      <name val="Calibri"/>
      <family val="2"/>
      <charset val="204"/>
    </font>
    <font>
      <b/>
      <sz val="8"/>
      <color rgb="FF000000"/>
      <name val="Calibri"/>
      <family val="2"/>
      <charset val="204"/>
    </font>
    <font>
      <b/>
      <sz val="11"/>
      <color rgb="FF000000"/>
      <name val="Calibri"/>
      <family val="2"/>
      <charset val="204"/>
    </font>
    <font>
      <i/>
      <sz val="11"/>
      <color rgb="FF000000"/>
      <name val="Calibri"/>
      <family val="2"/>
      <charset val="204"/>
    </font>
    <font>
      <i/>
      <sz val="11"/>
      <color theme="1"/>
      <name val="Calibri"/>
      <family val="2"/>
      <charset val="204"/>
    </font>
    <font>
      <i/>
      <sz val="12"/>
      <color theme="1"/>
      <name val="Times New Roman"/>
      <family val="1"/>
      <charset val="204"/>
    </font>
    <font>
      <i/>
      <vertAlign val="subscript"/>
      <sz val="12"/>
      <color theme="1"/>
      <name val="Times New Roman"/>
      <family val="1"/>
      <charset val="204"/>
    </font>
    <font>
      <sz val="12"/>
      <color theme="1"/>
      <name val="Calibri"/>
      <family val="2"/>
      <charset val="204"/>
      <scheme val="minor"/>
    </font>
    <font>
      <sz val="10"/>
      <color theme="0"/>
      <name val="Calibri"/>
      <family val="2"/>
      <charset val="204"/>
      <scheme val="minor"/>
    </font>
    <font>
      <b/>
      <sz val="11"/>
      <color theme="1"/>
      <name val="Calibri"/>
      <family val="2"/>
      <scheme val="minor"/>
    </font>
    <font>
      <b/>
      <sz val="10"/>
      <name val="Calibri"/>
      <family val="2"/>
      <scheme val="minor"/>
    </font>
    <font>
      <sz val="10"/>
      <name val="Calibri"/>
      <family val="2"/>
      <scheme val="minor"/>
    </font>
    <font>
      <sz val="10"/>
      <color theme="1"/>
      <name val="Calibri"/>
      <family val="2"/>
      <scheme val="minor"/>
    </font>
    <font>
      <sz val="11"/>
      <color rgb="FF000000"/>
      <name val="Cambria"/>
      <family val="1"/>
    </font>
    <font>
      <sz val="11"/>
      <color theme="0" tint="-0.499984740745262"/>
      <name val="Calibri"/>
      <family val="2"/>
      <charset val="204"/>
      <scheme val="minor"/>
    </font>
    <font>
      <b/>
      <u/>
      <sz val="11"/>
      <color theme="1"/>
      <name val="Calibri"/>
      <family val="2"/>
      <scheme val="minor"/>
    </font>
  </fonts>
  <fills count="8">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0" tint="-4.9989318521683403E-2"/>
        <bgColor indexed="64"/>
      </patternFill>
    </fill>
    <fill>
      <patternFill patternType="solid">
        <fgColor indexed="15"/>
        <bgColor indexed="64"/>
      </patternFill>
    </fill>
    <fill>
      <patternFill patternType="solid">
        <fgColor indexed="41"/>
        <bgColor indexed="64"/>
      </patternFill>
    </fill>
  </fills>
  <borders count="15">
    <border>
      <left/>
      <right/>
      <top/>
      <bottom/>
      <diagonal/>
    </border>
    <border>
      <left style="hair">
        <color auto="1"/>
      </left>
      <right style="hair">
        <color auto="1"/>
      </right>
      <top style="hair">
        <color auto="1"/>
      </top>
      <bottom style="hair">
        <color auto="1"/>
      </bottom>
      <diagonal/>
    </border>
    <border>
      <left style="hair">
        <color auto="1"/>
      </left>
      <right/>
      <top/>
      <bottom/>
      <diagonal/>
    </border>
    <border>
      <left/>
      <right/>
      <top/>
      <bottom style="hair">
        <color auto="1"/>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bottom style="hair">
        <color auto="1"/>
      </bottom>
      <diagonal/>
    </border>
    <border>
      <left style="hair">
        <color auto="1"/>
      </left>
      <right style="hair">
        <color auto="1"/>
      </right>
      <top style="hair">
        <color auto="1"/>
      </top>
      <bottom/>
      <diagonal/>
    </border>
    <border>
      <left style="hair">
        <color auto="1"/>
      </left>
      <right/>
      <top/>
      <bottom style="hair">
        <color auto="1"/>
      </bottom>
      <diagonal/>
    </border>
    <border>
      <left style="hair">
        <color auto="1"/>
      </left>
      <right style="hair">
        <color auto="1"/>
      </right>
      <top/>
      <bottom/>
      <diagonal/>
    </border>
    <border>
      <left/>
      <right/>
      <top style="hair">
        <color auto="1"/>
      </top>
      <bottom style="hair">
        <color auto="1"/>
      </bottom>
      <diagonal/>
    </border>
    <border>
      <left/>
      <right/>
      <top style="hair">
        <color auto="1"/>
      </top>
      <bottom/>
      <diagonal/>
    </border>
    <border>
      <left/>
      <right style="hair">
        <color auto="1"/>
      </right>
      <top/>
      <bottom style="hair">
        <color auto="1"/>
      </bottom>
      <diagonal/>
    </border>
    <border>
      <left/>
      <right style="hair">
        <color auto="1"/>
      </right>
      <top style="hair">
        <color auto="1"/>
      </top>
      <bottom/>
      <diagonal/>
    </border>
    <border>
      <left style="hair">
        <color auto="1"/>
      </left>
      <right/>
      <top style="hair">
        <color auto="1"/>
      </top>
      <bottom/>
      <diagonal/>
    </border>
  </borders>
  <cellStyleXfs count="2">
    <xf numFmtId="0" fontId="0" fillId="0" borderId="0"/>
    <xf numFmtId="164" fontId="4" fillId="0" borderId="0" applyFont="0" applyFill="0" applyBorder="0" applyAlignment="0" applyProtection="0"/>
  </cellStyleXfs>
  <cellXfs count="221">
    <xf numFmtId="0" fontId="0" fillId="0" borderId="0" xfId="0"/>
    <xf numFmtId="0" fontId="0" fillId="0" borderId="0" xfId="0" applyAlignment="1">
      <alignment wrapText="1"/>
    </xf>
    <xf numFmtId="0" fontId="0" fillId="0" borderId="0" xfId="0" applyAlignment="1">
      <alignment horizontal="center" vertical="center" wrapText="1"/>
    </xf>
    <xf numFmtId="0" fontId="0" fillId="0" borderId="1" xfId="0" applyBorder="1"/>
    <xf numFmtId="165" fontId="1" fillId="3" borderId="1" xfId="0" applyNumberFormat="1" applyFont="1" applyFill="1" applyBorder="1" applyAlignment="1">
      <alignment horizontal="center"/>
    </xf>
    <xf numFmtId="0" fontId="0" fillId="0" borderId="0" xfId="0" applyAlignment="1">
      <alignment horizontal="center" vertical="center"/>
    </xf>
    <xf numFmtId="0" fontId="3" fillId="0" borderId="0" xfId="0" applyFont="1" applyAlignment="1">
      <alignment horizontal="left" vertical="center"/>
    </xf>
    <xf numFmtId="0" fontId="3" fillId="0" borderId="0" xfId="0" applyFont="1"/>
    <xf numFmtId="0" fontId="0" fillId="0" borderId="3" xfId="0" applyBorder="1" applyAlignment="1">
      <alignment horizontal="center" wrapText="1"/>
    </xf>
    <xf numFmtId="0" fontId="0" fillId="0" borderId="8" xfId="0" applyBorder="1" applyAlignment="1">
      <alignment horizontal="center" vertical="center" wrapText="1"/>
    </xf>
    <xf numFmtId="0" fontId="3" fillId="0" borderId="1" xfId="0" applyFont="1" applyBorder="1" applyAlignment="1">
      <alignment horizontal="center" vertical="center" wrapText="1"/>
    </xf>
    <xf numFmtId="165" fontId="5" fillId="3" borderId="1" xfId="0" applyNumberFormat="1" applyFont="1" applyFill="1" applyBorder="1" applyAlignment="1">
      <alignment horizontal="center"/>
    </xf>
    <xf numFmtId="165" fontId="6" fillId="3" borderId="1" xfId="0" applyNumberFormat="1" applyFont="1" applyFill="1" applyBorder="1" applyAlignment="1">
      <alignment horizontal="center"/>
    </xf>
    <xf numFmtId="0" fontId="2" fillId="3" borderId="0" xfId="0" applyFont="1" applyFill="1"/>
    <xf numFmtId="0" fontId="0" fillId="3" borderId="0" xfId="0" applyFill="1"/>
    <xf numFmtId="0" fontId="0" fillId="0" borderId="2" xfId="0" applyBorder="1"/>
    <xf numFmtId="0" fontId="0" fillId="0" borderId="0" xfId="0" applyBorder="1"/>
    <xf numFmtId="0" fontId="6" fillId="2" borderId="0" xfId="0" applyFont="1" applyFill="1"/>
    <xf numFmtId="0" fontId="5" fillId="2" borderId="0" xfId="0" applyFont="1" applyFill="1"/>
    <xf numFmtId="0" fontId="5" fillId="0" borderId="0" xfId="0" applyFont="1"/>
    <xf numFmtId="0" fontId="5" fillId="0" borderId="0" xfId="0" applyFont="1" applyBorder="1" applyAlignment="1">
      <alignment horizontal="center" wrapText="1"/>
    </xf>
    <xf numFmtId="0" fontId="5" fillId="0" borderId="0" xfId="0" applyFont="1" applyAlignment="1">
      <alignment wrapText="1"/>
    </xf>
    <xf numFmtId="0" fontId="5" fillId="0" borderId="1" xfId="0" applyFont="1" applyBorder="1"/>
    <xf numFmtId="0" fontId="7" fillId="0" borderId="0" xfId="0" applyFont="1" applyAlignment="1">
      <alignment horizontal="left" vertical="center"/>
    </xf>
    <xf numFmtId="0" fontId="7" fillId="0" borderId="0" xfId="0" applyFont="1"/>
    <xf numFmtId="0" fontId="7" fillId="0" borderId="1" xfId="0" applyFont="1" applyBorder="1" applyAlignment="1">
      <alignment horizontal="center" vertical="center" wrapText="1"/>
    </xf>
    <xf numFmtId="0" fontId="5" fillId="0" borderId="0" xfId="0" applyFont="1" applyBorder="1"/>
    <xf numFmtId="0" fontId="5" fillId="0" borderId="1" xfId="0" applyFont="1" applyBorder="1" applyAlignment="1">
      <alignment horizontal="left" vertical="center" wrapText="1"/>
    </xf>
    <xf numFmtId="0" fontId="5" fillId="0" borderId="1" xfId="0" applyFont="1" applyBorder="1" applyAlignment="1">
      <alignment horizontal="left"/>
    </xf>
    <xf numFmtId="0" fontId="5" fillId="0" borderId="0" xfId="0" applyFont="1" applyBorder="1" applyAlignment="1">
      <alignment horizontal="left"/>
    </xf>
    <xf numFmtId="0" fontId="5" fillId="0" borderId="2" xfId="0" applyFont="1" applyBorder="1"/>
    <xf numFmtId="164" fontId="4" fillId="0" borderId="0" xfId="0" applyNumberFormat="1" applyFont="1" applyBorder="1" applyAlignment="1"/>
    <xf numFmtId="0" fontId="5" fillId="0" borderId="3" xfId="0" applyFont="1" applyBorder="1" applyAlignment="1">
      <alignment horizontal="center" wrapText="1"/>
    </xf>
    <xf numFmtId="165" fontId="6" fillId="3" borderId="4" xfId="0" applyNumberFormat="1" applyFont="1" applyFill="1" applyBorder="1" applyAlignment="1">
      <alignment horizontal="center"/>
    </xf>
    <xf numFmtId="0" fontId="5" fillId="0" borderId="2" xfId="0" applyFont="1" applyBorder="1" applyAlignment="1"/>
    <xf numFmtId="0" fontId="7" fillId="0" borderId="4" xfId="0" applyFont="1" applyBorder="1" applyAlignment="1">
      <alignment horizontal="center" vertical="center" wrapText="1"/>
    </xf>
    <xf numFmtId="168" fontId="5" fillId="3" borderId="1" xfId="0" applyNumberFormat="1" applyFont="1" applyFill="1" applyBorder="1" applyAlignment="1">
      <alignment horizontal="center"/>
    </xf>
    <xf numFmtId="2" fontId="5" fillId="3" borderId="1" xfId="0" applyNumberFormat="1" applyFont="1" applyFill="1" applyBorder="1" applyAlignment="1">
      <alignment horizontal="center"/>
    </xf>
    <xf numFmtId="0" fontId="0" fillId="0" borderId="0" xfId="0" applyAlignment="1">
      <alignment horizontal="center"/>
    </xf>
    <xf numFmtId="168" fontId="5" fillId="0" borderId="0" xfId="0" applyNumberFormat="1" applyFont="1"/>
    <xf numFmtId="2" fontId="5" fillId="0" borderId="0" xfId="0" applyNumberFormat="1" applyFont="1"/>
    <xf numFmtId="165" fontId="5" fillId="0" borderId="0" xfId="0" applyNumberFormat="1" applyFont="1"/>
    <xf numFmtId="2" fontId="7" fillId="0" borderId="1" xfId="0" applyNumberFormat="1" applyFont="1" applyBorder="1" applyAlignment="1">
      <alignment horizontal="center" vertical="center" wrapText="1"/>
    </xf>
    <xf numFmtId="0" fontId="5" fillId="0" borderId="0" xfId="0" applyFont="1" applyBorder="1" applyAlignment="1">
      <alignment horizontal="center" vertical="center" wrapText="1"/>
    </xf>
    <xf numFmtId="0" fontId="0" fillId="0" borderId="0" xfId="0" applyBorder="1" applyAlignment="1">
      <alignment horizontal="center"/>
    </xf>
    <xf numFmtId="168" fontId="6" fillId="3" borderId="1" xfId="0" applyNumberFormat="1" applyFont="1" applyFill="1" applyBorder="1" applyAlignment="1">
      <alignment horizontal="center"/>
    </xf>
    <xf numFmtId="165" fontId="1" fillId="3" borderId="4" xfId="0" applyNumberFormat="1" applyFont="1" applyFill="1" applyBorder="1" applyAlignment="1">
      <alignment horizontal="center"/>
    </xf>
    <xf numFmtId="165" fontId="5" fillId="0" borderId="0" xfId="0" applyNumberFormat="1" applyFont="1" applyBorder="1"/>
    <xf numFmtId="0" fontId="5" fillId="0" borderId="0" xfId="0" applyFont="1" applyBorder="1" applyAlignment="1"/>
    <xf numFmtId="165" fontId="5" fillId="0" borderId="4" xfId="0" applyNumberFormat="1" applyFont="1" applyFill="1" applyBorder="1" applyAlignment="1">
      <alignment horizontal="center"/>
    </xf>
    <xf numFmtId="165" fontId="5" fillId="0" borderId="1" xfId="0" applyNumberFormat="1" applyFont="1" applyFill="1" applyBorder="1" applyAlignment="1">
      <alignment horizontal="center"/>
    </xf>
    <xf numFmtId="166" fontId="6" fillId="3" borderId="4" xfId="1" applyNumberFormat="1" applyFont="1" applyFill="1" applyBorder="1" applyAlignment="1">
      <alignment horizontal="center"/>
    </xf>
    <xf numFmtId="166" fontId="5" fillId="3" borderId="1" xfId="1" applyNumberFormat="1" applyFont="1" applyFill="1" applyBorder="1" applyAlignment="1">
      <alignment horizontal="center"/>
    </xf>
    <xf numFmtId="166" fontId="7" fillId="3" borderId="1" xfId="1" applyNumberFormat="1" applyFont="1" applyFill="1" applyBorder="1" applyAlignment="1">
      <alignment horizontal="center"/>
    </xf>
    <xf numFmtId="2" fontId="1" fillId="3" borderId="1" xfId="0" applyNumberFormat="1" applyFont="1" applyFill="1" applyBorder="1" applyAlignment="1">
      <alignment horizontal="center"/>
    </xf>
    <xf numFmtId="167" fontId="1" fillId="3" borderId="1" xfId="0" applyNumberFormat="1" applyFont="1" applyFill="1" applyBorder="1" applyAlignment="1">
      <alignment horizontal="center"/>
    </xf>
    <xf numFmtId="165" fontId="5" fillId="3" borderId="4" xfId="0" applyNumberFormat="1" applyFont="1" applyFill="1" applyBorder="1" applyAlignment="1">
      <alignment horizontal="center"/>
    </xf>
    <xf numFmtId="166" fontId="5" fillId="3" borderId="4" xfId="1" applyNumberFormat="1" applyFont="1" applyFill="1" applyBorder="1" applyAlignment="1">
      <alignment horizontal="center"/>
    </xf>
    <xf numFmtId="0" fontId="2" fillId="0" borderId="0" xfId="0" applyFont="1" applyBorder="1" applyAlignment="1">
      <alignment horizontal="center" wrapText="1"/>
    </xf>
    <xf numFmtId="0" fontId="8" fillId="0" borderId="3" xfId="0" applyFont="1" applyBorder="1" applyAlignment="1">
      <alignment horizontal="left"/>
    </xf>
    <xf numFmtId="0" fontId="1" fillId="0" borderId="3" xfId="0" applyFont="1" applyBorder="1" applyAlignment="1">
      <alignment horizontal="center" wrapText="1"/>
    </xf>
    <xf numFmtId="0" fontId="8" fillId="0" borderId="3" xfId="0" applyFont="1" applyBorder="1" applyAlignment="1">
      <alignment horizontal="center" wrapText="1"/>
    </xf>
    <xf numFmtId="165" fontId="8" fillId="0" borderId="3" xfId="0" applyNumberFormat="1" applyFont="1" applyBorder="1" applyAlignment="1">
      <alignment horizontal="center" wrapText="1"/>
    </xf>
    <xf numFmtId="166" fontId="6" fillId="3" borderId="1" xfId="1" applyNumberFormat="1" applyFont="1" applyFill="1" applyBorder="1" applyAlignment="1">
      <alignment horizontal="center"/>
    </xf>
    <xf numFmtId="166" fontId="5" fillId="0" borderId="0" xfId="1" applyNumberFormat="1" applyFont="1"/>
    <xf numFmtId="166" fontId="9" fillId="3" borderId="1" xfId="1" applyNumberFormat="1" applyFont="1" applyFill="1" applyBorder="1" applyAlignment="1">
      <alignment horizontal="center"/>
    </xf>
    <xf numFmtId="166" fontId="7" fillId="3" borderId="4" xfId="1" applyNumberFormat="1" applyFont="1" applyFill="1" applyBorder="1" applyAlignment="1">
      <alignment horizontal="center"/>
    </xf>
    <xf numFmtId="0" fontId="6" fillId="0" borderId="1" xfId="0" applyFont="1" applyBorder="1" applyAlignment="1">
      <alignment horizontal="left"/>
    </xf>
    <xf numFmtId="0" fontId="0" fillId="0" borderId="0" xfId="0" applyBorder="1" applyAlignment="1">
      <alignment horizontal="center" wrapText="1"/>
    </xf>
    <xf numFmtId="0" fontId="7" fillId="0" borderId="1" xfId="0" applyFont="1" applyBorder="1" applyAlignment="1">
      <alignment horizontal="center" vertical="center" wrapText="1"/>
    </xf>
    <xf numFmtId="166" fontId="5" fillId="0" borderId="0" xfId="0" applyNumberFormat="1" applyFont="1"/>
    <xf numFmtId="170" fontId="5" fillId="0" borderId="0" xfId="0" applyNumberFormat="1" applyFont="1"/>
    <xf numFmtId="168" fontId="6" fillId="4" borderId="1" xfId="0" applyNumberFormat="1" applyFont="1" applyFill="1" applyBorder="1" applyAlignment="1">
      <alignment horizontal="center"/>
    </xf>
    <xf numFmtId="169" fontId="5" fillId="0" borderId="0" xfId="0" applyNumberFormat="1" applyFont="1"/>
    <xf numFmtId="169" fontId="9" fillId="3" borderId="1" xfId="1" applyNumberFormat="1" applyFont="1" applyFill="1" applyBorder="1" applyAlignment="1">
      <alignment horizontal="center" vertical="center"/>
    </xf>
    <xf numFmtId="2" fontId="1" fillId="0" borderId="0" xfId="0" applyNumberFormat="1" applyFont="1" applyFill="1" applyBorder="1" applyAlignment="1">
      <alignment horizontal="center"/>
    </xf>
    <xf numFmtId="2" fontId="5" fillId="0" borderId="0" xfId="0" applyNumberFormat="1" applyFont="1" applyFill="1" applyBorder="1" applyAlignment="1">
      <alignment horizontal="center"/>
    </xf>
    <xf numFmtId="165" fontId="7" fillId="0" borderId="4" xfId="0" applyNumberFormat="1" applyFont="1" applyFill="1" applyBorder="1" applyAlignment="1">
      <alignment horizontal="center" vertical="center"/>
    </xf>
    <xf numFmtId="0" fontId="0" fillId="0" borderId="0" xfId="0" applyBorder="1" applyAlignment="1">
      <alignment horizontal="left" wrapText="1"/>
    </xf>
    <xf numFmtId="0" fontId="2" fillId="0" borderId="3" xfId="0" applyFont="1" applyBorder="1" applyAlignment="1">
      <alignment horizontal="left"/>
    </xf>
    <xf numFmtId="0" fontId="11" fillId="0" borderId="1" xfId="0" applyFont="1" applyBorder="1" applyAlignment="1">
      <alignment horizontal="left" wrapText="1"/>
    </xf>
    <xf numFmtId="168" fontId="1" fillId="3" borderId="1" xfId="0" applyNumberFormat="1" applyFont="1" applyFill="1" applyBorder="1" applyAlignment="1">
      <alignment horizontal="center"/>
    </xf>
    <xf numFmtId="0" fontId="0" fillId="0" borderId="0" xfId="0" applyBorder="1" applyAlignment="1">
      <alignment horizontal="center" wrapText="1"/>
    </xf>
    <xf numFmtId="0" fontId="0" fillId="0" borderId="0" xfId="0" applyBorder="1" applyAlignment="1">
      <alignment horizontal="left" wrapText="1"/>
    </xf>
    <xf numFmtId="0" fontId="0" fillId="0" borderId="0" xfId="0" applyBorder="1" applyAlignment="1">
      <alignment horizontal="center" wrapText="1"/>
    </xf>
    <xf numFmtId="0" fontId="5" fillId="0" borderId="0" xfId="0" applyFont="1" applyBorder="1" applyAlignment="1"/>
    <xf numFmtId="168" fontId="6" fillId="4" borderId="5" xfId="0" applyNumberFormat="1" applyFont="1" applyFill="1" applyBorder="1" applyAlignment="1">
      <alignment horizontal="center"/>
    </xf>
    <xf numFmtId="0" fontId="12" fillId="0" borderId="1" xfId="0" applyFont="1" applyBorder="1"/>
    <xf numFmtId="168" fontId="7" fillId="0" borderId="1" xfId="0" applyNumberFormat="1" applyFont="1" applyBorder="1" applyAlignment="1">
      <alignment horizontal="center"/>
    </xf>
    <xf numFmtId="168" fontId="7" fillId="0" borderId="0" xfId="0" applyNumberFormat="1" applyFont="1" applyBorder="1" applyAlignment="1">
      <alignment horizontal="center"/>
    </xf>
    <xf numFmtId="168" fontId="6" fillId="0" borderId="0" xfId="0" applyNumberFormat="1" applyFont="1" applyFill="1" applyBorder="1" applyAlignment="1">
      <alignment horizontal="center"/>
    </xf>
    <xf numFmtId="169" fontId="7" fillId="3" borderId="4" xfId="1" applyNumberFormat="1" applyFont="1" applyFill="1" applyBorder="1" applyAlignment="1">
      <alignment horizontal="center"/>
    </xf>
    <xf numFmtId="171" fontId="5" fillId="0" borderId="0" xfId="0" applyNumberFormat="1" applyFont="1"/>
    <xf numFmtId="166" fontId="13" fillId="3" borderId="1" xfId="1" applyNumberFormat="1" applyFont="1" applyFill="1" applyBorder="1" applyAlignment="1">
      <alignment horizontal="center"/>
    </xf>
    <xf numFmtId="166" fontId="14" fillId="3" borderId="1" xfId="1" applyNumberFormat="1" applyFont="1" applyFill="1" applyBorder="1" applyAlignment="1">
      <alignment horizontal="center"/>
    </xf>
    <xf numFmtId="0" fontId="6" fillId="0" borderId="0" xfId="0" applyFont="1" applyBorder="1" applyAlignment="1">
      <alignment horizontal="left" wrapText="1"/>
    </xf>
    <xf numFmtId="0" fontId="0" fillId="0" borderId="0" xfId="0" applyBorder="1" applyAlignment="1">
      <alignment horizontal="left"/>
    </xf>
    <xf numFmtId="0" fontId="0" fillId="0" borderId="0" xfId="0" applyAlignment="1">
      <alignment horizontal="left"/>
    </xf>
    <xf numFmtId="169" fontId="9" fillId="3" borderId="1" xfId="1" applyNumberFormat="1" applyFont="1" applyFill="1" applyBorder="1" applyAlignment="1">
      <alignment horizontal="center"/>
    </xf>
    <xf numFmtId="165" fontId="0" fillId="0" borderId="0" xfId="0" applyNumberFormat="1"/>
    <xf numFmtId="166" fontId="9" fillId="3" borderId="4" xfId="1" applyNumberFormat="1" applyFont="1" applyFill="1" applyBorder="1" applyAlignment="1">
      <alignment horizontal="center"/>
    </xf>
    <xf numFmtId="166" fontId="7" fillId="3" borderId="4" xfId="1" applyNumberFormat="1" applyFont="1" applyFill="1" applyBorder="1" applyAlignment="1"/>
    <xf numFmtId="0" fontId="0" fillId="0" borderId="11" xfId="0" applyFill="1" applyBorder="1"/>
    <xf numFmtId="165" fontId="7" fillId="3" borderId="1" xfId="1" applyNumberFormat="1" applyFont="1" applyFill="1" applyBorder="1" applyAlignment="1">
      <alignment horizontal="center"/>
    </xf>
    <xf numFmtId="0" fontId="11" fillId="0" borderId="6" xfId="0" applyFont="1" applyBorder="1" applyAlignment="1">
      <alignment horizontal="left" wrapText="1"/>
    </xf>
    <xf numFmtId="0" fontId="7" fillId="0" borderId="1" xfId="0" applyFont="1" applyBorder="1" applyAlignment="1">
      <alignment horizontal="left" wrapText="1"/>
    </xf>
    <xf numFmtId="166" fontId="5" fillId="3" borderId="1" xfId="1" applyNumberFormat="1" applyFont="1" applyFill="1" applyBorder="1" applyAlignment="1">
      <alignment horizontal="center" vertical="center"/>
    </xf>
    <xf numFmtId="0" fontId="0" fillId="0" borderId="12" xfId="0" applyBorder="1"/>
    <xf numFmtId="0" fontId="2" fillId="0" borderId="6" xfId="0" applyFont="1" applyBorder="1"/>
    <xf numFmtId="0" fontId="2" fillId="0" borderId="6" xfId="0" applyFont="1" applyBorder="1" applyAlignment="1">
      <alignment horizontal="center"/>
    </xf>
    <xf numFmtId="0" fontId="2" fillId="0" borderId="8" xfId="0" applyFont="1" applyBorder="1"/>
    <xf numFmtId="0" fontId="2" fillId="0" borderId="5" xfId="0" applyFont="1" applyBorder="1" applyAlignment="1">
      <alignment horizontal="left"/>
    </xf>
    <xf numFmtId="0" fontId="16" fillId="0" borderId="1" xfId="0" applyFont="1" applyBorder="1" applyAlignment="1">
      <alignment horizontal="center"/>
    </xf>
    <xf numFmtId="0" fontId="16" fillId="0" borderId="4" xfId="0" applyFont="1" applyBorder="1" applyAlignment="1">
      <alignment horizontal="center"/>
    </xf>
    <xf numFmtId="168" fontId="2" fillId="0" borderId="5" xfId="0" applyNumberFormat="1" applyFont="1" applyBorder="1" applyAlignment="1">
      <alignment horizontal="left"/>
    </xf>
    <xf numFmtId="168" fontId="17" fillId="0" borderId="1" xfId="0" applyNumberFormat="1" applyFont="1" applyBorder="1" applyAlignment="1">
      <alignment horizontal="center"/>
    </xf>
    <xf numFmtId="168" fontId="16" fillId="0" borderId="1" xfId="0" applyNumberFormat="1" applyFont="1" applyBorder="1" applyAlignment="1">
      <alignment horizontal="center"/>
    </xf>
    <xf numFmtId="0" fontId="2" fillId="0" borderId="5" xfId="0" applyFont="1" applyBorder="1" applyAlignment="1">
      <alignment horizontal="center"/>
    </xf>
    <xf numFmtId="0" fontId="2" fillId="0" borderId="13" xfId="0" applyFont="1" applyBorder="1" applyAlignment="1">
      <alignment horizontal="left"/>
    </xf>
    <xf numFmtId="0" fontId="16" fillId="0" borderId="7" xfId="0" applyFont="1" applyBorder="1" applyAlignment="1">
      <alignment horizontal="center"/>
    </xf>
    <xf numFmtId="0" fontId="16" fillId="0" borderId="14" xfId="0" applyFont="1" applyBorder="1" applyAlignment="1">
      <alignment horizontal="center"/>
    </xf>
    <xf numFmtId="0" fontId="2" fillId="0" borderId="0" xfId="0" applyFont="1" applyBorder="1" applyAlignment="1">
      <alignment horizontal="left"/>
    </xf>
    <xf numFmtId="0" fontId="16" fillId="0" borderId="0" xfId="0" applyFont="1" applyBorder="1" applyAlignment="1">
      <alignment horizontal="center"/>
    </xf>
    <xf numFmtId="0" fontId="2" fillId="0" borderId="8" xfId="0" applyFont="1" applyBorder="1" applyAlignment="1">
      <alignment horizontal="center"/>
    </xf>
    <xf numFmtId="0" fontId="18" fillId="0" borderId="8" xfId="0" applyFont="1" applyBorder="1" applyAlignment="1">
      <alignment horizontal="center"/>
    </xf>
    <xf numFmtId="0" fontId="18" fillId="0" borderId="4" xfId="0" applyFont="1" applyBorder="1" applyAlignment="1">
      <alignment horizontal="center"/>
    </xf>
    <xf numFmtId="0" fontId="18" fillId="0" borderId="14" xfId="0" applyFont="1" applyBorder="1" applyAlignment="1">
      <alignment horizontal="center"/>
    </xf>
    <xf numFmtId="0" fontId="19" fillId="0" borderId="6" xfId="0" applyFont="1" applyBorder="1"/>
    <xf numFmtId="0" fontId="19" fillId="0" borderId="6" xfId="0" applyFont="1" applyBorder="1" applyAlignment="1">
      <alignment horizontal="center"/>
    </xf>
    <xf numFmtId="0" fontId="19" fillId="0" borderId="8" xfId="0" applyFont="1" applyBorder="1"/>
    <xf numFmtId="0" fontId="20" fillId="0" borderId="12" xfId="0" applyFont="1" applyBorder="1" applyAlignment="1">
      <alignment vertical="center"/>
    </xf>
    <xf numFmtId="0" fontId="21" fillId="0" borderId="6" xfId="0" applyFont="1" applyBorder="1" applyAlignment="1">
      <alignment horizontal="center" vertical="center"/>
    </xf>
    <xf numFmtId="0" fontId="22" fillId="0" borderId="5" xfId="0" applyFont="1" applyBorder="1" applyAlignment="1">
      <alignment vertical="center"/>
    </xf>
    <xf numFmtId="0" fontId="23" fillId="0" borderId="1" xfId="0" applyFont="1" applyBorder="1" applyAlignment="1">
      <alignment horizontal="center"/>
    </xf>
    <xf numFmtId="0" fontId="23" fillId="0" borderId="1" xfId="0" applyFont="1" applyBorder="1" applyAlignment="1">
      <alignment horizontal="center" vertical="center"/>
    </xf>
    <xf numFmtId="0" fontId="23" fillId="0" borderId="4" xfId="0" applyFont="1" applyBorder="1" applyAlignment="1">
      <alignment horizontal="center"/>
    </xf>
    <xf numFmtId="0" fontId="24" fillId="0" borderId="1" xfId="0" applyFont="1" applyBorder="1" applyAlignment="1">
      <alignment horizontal="center" vertical="center"/>
    </xf>
    <xf numFmtId="0" fontId="22" fillId="0" borderId="5" xfId="0" applyFont="1" applyBorder="1" applyAlignment="1">
      <alignment horizontal="center" vertical="center"/>
    </xf>
    <xf numFmtId="0" fontId="23" fillId="0" borderId="4" xfId="0" applyFont="1" applyBorder="1" applyAlignment="1">
      <alignment horizontal="center" vertical="center"/>
    </xf>
    <xf numFmtId="0" fontId="22" fillId="0" borderId="13" xfId="0" applyFont="1" applyBorder="1" applyAlignment="1">
      <alignment vertical="center"/>
    </xf>
    <xf numFmtId="0" fontId="23" fillId="0" borderId="7" xfId="0" applyFont="1" applyBorder="1" applyAlignment="1">
      <alignment horizontal="center"/>
    </xf>
    <xf numFmtId="0" fontId="23" fillId="0" borderId="7" xfId="0" applyFont="1" applyBorder="1" applyAlignment="1">
      <alignment horizontal="center" vertical="center"/>
    </xf>
    <xf numFmtId="0" fontId="23" fillId="0" borderId="14" xfId="0" applyFont="1" applyBorder="1" applyAlignment="1">
      <alignment horizontal="center"/>
    </xf>
    <xf numFmtId="0" fontId="21" fillId="0" borderId="8" xfId="0" applyFont="1" applyBorder="1" applyAlignment="1">
      <alignment horizontal="center" vertical="center"/>
    </xf>
    <xf numFmtId="168" fontId="2" fillId="0" borderId="13" xfId="0" applyNumberFormat="1" applyFont="1" applyBorder="1" applyAlignment="1">
      <alignment horizontal="left"/>
    </xf>
    <xf numFmtId="0" fontId="28" fillId="0" borderId="0" xfId="0" applyFont="1" applyBorder="1" applyAlignment="1">
      <alignment horizontal="center" vertical="center" wrapText="1"/>
    </xf>
    <xf numFmtId="0" fontId="15" fillId="0" borderId="0" xfId="0" applyFont="1"/>
    <xf numFmtId="164" fontId="5" fillId="0" borderId="0" xfId="0" applyNumberFormat="1" applyFont="1"/>
    <xf numFmtId="166" fontId="6" fillId="3" borderId="1" xfId="1" applyNumberFormat="1" applyFont="1" applyFill="1" applyBorder="1" applyAlignment="1">
      <alignment horizontal="center" vertical="center"/>
    </xf>
    <xf numFmtId="0" fontId="7" fillId="0" borderId="1" xfId="0" applyFont="1" applyBorder="1" applyAlignment="1">
      <alignment horizontal="center" vertical="center" wrapText="1"/>
    </xf>
    <xf numFmtId="165" fontId="7" fillId="0" borderId="4" xfId="0" applyNumberFormat="1" applyFont="1" applyFill="1" applyBorder="1" applyAlignment="1">
      <alignment horizontal="center" vertical="center"/>
    </xf>
    <xf numFmtId="0" fontId="29" fillId="0" borderId="1" xfId="0" applyFont="1" applyBorder="1"/>
    <xf numFmtId="0" fontId="30" fillId="0" borderId="1" xfId="0" applyFont="1" applyBorder="1" applyAlignment="1">
      <alignment horizontal="center" vertical="center" wrapText="1"/>
    </xf>
    <xf numFmtId="0" fontId="7" fillId="0" borderId="7" xfId="0" applyFont="1" applyBorder="1" applyAlignment="1">
      <alignment vertical="center" wrapText="1"/>
    </xf>
    <xf numFmtId="0" fontId="3" fillId="0" borderId="6" xfId="0" applyFont="1" applyBorder="1" applyAlignment="1">
      <alignment vertical="center" wrapText="1"/>
    </xf>
    <xf numFmtId="0" fontId="34" fillId="5" borderId="0" xfId="0" applyFont="1" applyFill="1"/>
    <xf numFmtId="49" fontId="0" fillId="6" borderId="0" xfId="0" applyNumberFormat="1" applyFill="1" applyAlignment="1" applyProtection="1">
      <alignment horizontal="left"/>
    </xf>
    <xf numFmtId="0" fontId="0" fillId="6" borderId="0" xfId="0" applyNumberFormat="1" applyFill="1" applyAlignment="1" applyProtection="1">
      <alignment horizontal="left"/>
      <protection locked="0"/>
    </xf>
    <xf numFmtId="172" fontId="0" fillId="6" borderId="0" xfId="0" applyNumberFormat="1" applyFill="1" applyAlignment="1" applyProtection="1">
      <alignment horizontal="left"/>
      <protection locked="0"/>
    </xf>
    <xf numFmtId="49" fontId="0" fillId="0" borderId="0" xfId="0" applyNumberFormat="1" applyProtection="1"/>
    <xf numFmtId="0" fontId="0" fillId="0" borderId="0" xfId="0" applyNumberFormat="1" applyProtection="1">
      <protection locked="0"/>
    </xf>
    <xf numFmtId="0" fontId="0" fillId="0" borderId="0" xfId="0" applyNumberFormat="1" applyProtection="1"/>
    <xf numFmtId="0" fontId="35" fillId="7" borderId="0" xfId="0" applyFont="1" applyFill="1" applyAlignment="1">
      <alignment horizontal="center"/>
    </xf>
    <xf numFmtId="49" fontId="35" fillId="7" borderId="0" xfId="0" applyNumberFormat="1" applyFont="1" applyFill="1" applyAlignment="1" applyProtection="1">
      <alignment horizontal="center"/>
    </xf>
    <xf numFmtId="0" fontId="35" fillId="7" borderId="0" xfId="0" applyNumberFormat="1" applyFont="1" applyFill="1" applyAlignment="1" applyProtection="1">
      <alignment horizontal="center"/>
      <protection locked="0"/>
    </xf>
    <xf numFmtId="0" fontId="5" fillId="0" borderId="7" xfId="0" applyFont="1" applyBorder="1" applyAlignment="1">
      <alignment horizontal="center" vertical="center" wrapText="1"/>
    </xf>
    <xf numFmtId="0" fontId="0" fillId="0" borderId="6" xfId="0" applyBorder="1" applyAlignment="1">
      <alignment horizontal="center" vertical="center" wrapText="1"/>
    </xf>
    <xf numFmtId="0" fontId="6" fillId="0" borderId="3" xfId="0" applyFont="1" applyBorder="1" applyAlignment="1">
      <alignment horizontal="center" wrapText="1"/>
    </xf>
    <xf numFmtId="0" fontId="0" fillId="0" borderId="3" xfId="0" applyBorder="1" applyAlignment="1">
      <alignment horizontal="center" wrapText="1"/>
    </xf>
    <xf numFmtId="164" fontId="1" fillId="3" borderId="4" xfId="1" applyNumberFormat="1" applyFont="1" applyFill="1" applyBorder="1" applyAlignment="1">
      <alignment horizontal="center"/>
    </xf>
    <xf numFmtId="164" fontId="4" fillId="0" borderId="5" xfId="0" applyNumberFormat="1" applyFont="1" applyBorder="1" applyAlignment="1"/>
    <xf numFmtId="0" fontId="2" fillId="0" borderId="0" xfId="0" applyFont="1" applyBorder="1" applyAlignment="1">
      <alignment horizontal="left" wrapText="1"/>
    </xf>
    <xf numFmtId="0" fontId="0" fillId="0" borderId="0" xfId="0" applyAlignment="1">
      <alignment horizontal="left" wrapText="1"/>
    </xf>
    <xf numFmtId="0" fontId="7" fillId="0" borderId="1" xfId="0" applyFont="1" applyBorder="1" applyAlignment="1">
      <alignment horizontal="center" vertical="center" wrapText="1"/>
    </xf>
    <xf numFmtId="0" fontId="2" fillId="0" borderId="3" xfId="0" applyFont="1" applyBorder="1" applyAlignment="1">
      <alignment horizontal="center" wrapText="1"/>
    </xf>
    <xf numFmtId="0" fontId="0" fillId="0" borderId="3" xfId="0" applyBorder="1" applyAlignment="1">
      <alignment wrapText="1"/>
    </xf>
    <xf numFmtId="0" fontId="0" fillId="0" borderId="0" xfId="0" applyBorder="1" applyAlignment="1">
      <alignment wrapText="1"/>
    </xf>
    <xf numFmtId="0" fontId="3" fillId="0" borderId="1" xfId="0" applyFont="1" applyBorder="1" applyAlignment="1">
      <alignment horizontal="center" vertical="center" wrapText="1"/>
    </xf>
    <xf numFmtId="0" fontId="31" fillId="0" borderId="7" xfId="0" applyFont="1" applyBorder="1" applyAlignment="1">
      <alignment horizontal="center" vertical="center" wrapText="1"/>
    </xf>
    <xf numFmtId="0" fontId="32" fillId="0" borderId="6" xfId="0" applyFont="1" applyBorder="1" applyAlignment="1">
      <alignment horizontal="center" vertical="center" wrapText="1"/>
    </xf>
    <xf numFmtId="0" fontId="7" fillId="0" borderId="7" xfId="0" applyFont="1" applyBorder="1" applyAlignment="1">
      <alignment horizontal="center" vertical="center" wrapText="1"/>
    </xf>
    <xf numFmtId="0" fontId="3" fillId="0" borderId="6" xfId="0" applyFont="1" applyBorder="1" applyAlignment="1">
      <alignment horizontal="center" vertical="center" wrapText="1"/>
    </xf>
    <xf numFmtId="0" fontId="2" fillId="0" borderId="3" xfId="0" applyFont="1" applyBorder="1" applyAlignment="1">
      <alignment horizontal="center"/>
    </xf>
    <xf numFmtId="0" fontId="0" fillId="0" borderId="3" xfId="0" applyBorder="1" applyAlignment="1"/>
    <xf numFmtId="166" fontId="5" fillId="3" borderId="4" xfId="1" applyNumberFormat="1" applyFont="1" applyFill="1" applyBorder="1" applyAlignment="1">
      <alignment horizontal="center"/>
    </xf>
    <xf numFmtId="166" fontId="5" fillId="0" borderId="5" xfId="0" applyNumberFormat="1" applyFont="1" applyBorder="1" applyAlignment="1"/>
    <xf numFmtId="0" fontId="5" fillId="0" borderId="3" xfId="0" applyFont="1" applyBorder="1" applyAlignment="1">
      <alignment horizontal="center" wrapText="1"/>
    </xf>
    <xf numFmtId="0" fontId="9" fillId="0" borderId="7" xfId="0" applyFont="1" applyBorder="1" applyAlignment="1">
      <alignment horizontal="center" vertical="center" wrapText="1"/>
    </xf>
    <xf numFmtId="0" fontId="10" fillId="0" borderId="6" xfId="0" applyFont="1" applyBorder="1" applyAlignment="1">
      <alignment horizontal="center" vertical="center" wrapText="1"/>
    </xf>
    <xf numFmtId="0" fontId="5" fillId="0" borderId="0" xfId="0" applyFont="1" applyBorder="1" applyAlignment="1">
      <alignment horizontal="center" wrapText="1"/>
    </xf>
    <xf numFmtId="0" fontId="6" fillId="0" borderId="0" xfId="0" applyFont="1" applyBorder="1" applyAlignment="1">
      <alignment horizontal="center" wrapText="1"/>
    </xf>
    <xf numFmtId="0" fontId="0" fillId="0" borderId="6" xfId="0" applyBorder="1" applyAlignment="1">
      <alignment wrapText="1"/>
    </xf>
    <xf numFmtId="0" fontId="9" fillId="0" borderId="6" xfId="0" applyFont="1" applyBorder="1" applyAlignment="1">
      <alignment horizontal="center" vertical="center" wrapText="1"/>
    </xf>
    <xf numFmtId="0" fontId="25" fillId="0" borderId="11" xfId="0" applyFont="1" applyBorder="1" applyAlignment="1">
      <alignment horizontal="center" vertical="center"/>
    </xf>
    <xf numFmtId="0" fontId="27" fillId="0" borderId="11" xfId="0" applyFont="1" applyBorder="1" applyAlignment="1">
      <alignment horizontal="center"/>
    </xf>
    <xf numFmtId="0" fontId="0" fillId="0" borderId="0" xfId="0" applyBorder="1" applyAlignment="1">
      <alignment horizontal="center" wrapText="1"/>
    </xf>
    <xf numFmtId="0" fontId="2" fillId="0" borderId="0" xfId="0" applyFont="1" applyBorder="1" applyAlignment="1">
      <alignment horizontal="center" wrapText="1"/>
    </xf>
    <xf numFmtId="0" fontId="9" fillId="0" borderId="9" xfId="0" applyFont="1" applyBorder="1" applyAlignment="1">
      <alignment horizontal="center" vertical="center" wrapText="1"/>
    </xf>
    <xf numFmtId="0" fontId="2" fillId="0" borderId="6" xfId="0" applyFont="1" applyBorder="1" applyAlignment="1">
      <alignment wrapText="1"/>
    </xf>
    <xf numFmtId="0" fontId="7" fillId="0" borderId="9" xfId="0" applyFont="1" applyBorder="1" applyAlignment="1">
      <alignment horizontal="center" vertical="center" wrapText="1"/>
    </xf>
    <xf numFmtId="0" fontId="3" fillId="0" borderId="6" xfId="0" applyFont="1" applyBorder="1" applyAlignment="1"/>
    <xf numFmtId="0" fontId="6" fillId="0" borderId="0" xfId="0" applyFont="1" applyBorder="1" applyAlignment="1">
      <alignment horizontal="left" wrapText="1"/>
    </xf>
    <xf numFmtId="0" fontId="0" fillId="0" borderId="0" xfId="0" applyBorder="1" applyAlignment="1">
      <alignment horizontal="left"/>
    </xf>
    <xf numFmtId="0" fontId="0" fillId="0" borderId="0" xfId="0" applyAlignment="1">
      <alignment horizontal="left"/>
    </xf>
    <xf numFmtId="165" fontId="9" fillId="0" borderId="4" xfId="0" applyNumberFormat="1" applyFont="1" applyFill="1" applyBorder="1" applyAlignment="1">
      <alignment horizontal="center" vertical="center"/>
    </xf>
    <xf numFmtId="0" fontId="2" fillId="0" borderId="10" xfId="0" applyFont="1" applyBorder="1" applyAlignment="1">
      <alignment horizontal="center" vertical="center"/>
    </xf>
    <xf numFmtId="0" fontId="2" fillId="0" borderId="5" xfId="0" applyFont="1" applyBorder="1" applyAlignment="1">
      <alignment horizontal="center" vertical="center"/>
    </xf>
    <xf numFmtId="165" fontId="7" fillId="0" borderId="4" xfId="0" applyNumberFormat="1" applyFont="1" applyFill="1" applyBorder="1" applyAlignment="1">
      <alignment horizontal="center" vertical="center"/>
    </xf>
    <xf numFmtId="0" fontId="0" fillId="0" borderId="5" xfId="0" applyBorder="1" applyAlignment="1">
      <alignment horizontal="center" vertical="center"/>
    </xf>
    <xf numFmtId="0" fontId="0" fillId="0" borderId="10" xfId="0" applyBorder="1" applyAlignment="1">
      <alignment horizontal="center" vertical="center"/>
    </xf>
    <xf numFmtId="0" fontId="5" fillId="0" borderId="0" xfId="0" applyFont="1" applyBorder="1" applyAlignment="1"/>
    <xf numFmtId="0" fontId="2" fillId="0" borderId="4" xfId="0" applyFont="1" applyBorder="1" applyAlignment="1">
      <alignment horizontal="center"/>
    </xf>
    <xf numFmtId="0" fontId="0" fillId="0" borderId="10" xfId="0" applyBorder="1" applyAlignment="1"/>
    <xf numFmtId="0" fontId="0" fillId="0" borderId="5" xfId="0" applyBorder="1" applyAlignment="1"/>
    <xf numFmtId="0" fontId="3" fillId="0" borderId="9" xfId="0" applyFont="1" applyBorder="1" applyAlignment="1">
      <alignment horizontal="center" vertical="center" wrapText="1"/>
    </xf>
    <xf numFmtId="0" fontId="2" fillId="0" borderId="0" xfId="0" applyFont="1" applyBorder="1" applyAlignment="1">
      <alignment horizontal="center"/>
    </xf>
    <xf numFmtId="0" fontId="0" fillId="0" borderId="0" xfId="0" applyBorder="1" applyAlignment="1"/>
    <xf numFmtId="0" fontId="0" fillId="0" borderId="0" xfId="0" applyAlignment="1"/>
    <xf numFmtId="0" fontId="10" fillId="0" borderId="8" xfId="0" applyFont="1" applyBorder="1" applyAlignment="1">
      <alignment horizontal="center"/>
    </xf>
    <xf numFmtId="0" fontId="10" fillId="0" borderId="3" xfId="0" applyFont="1" applyBorder="1" applyAlignment="1">
      <alignment horizontal="center"/>
    </xf>
    <xf numFmtId="0" fontId="10" fillId="0" borderId="12" xfId="0" applyFont="1" applyBorder="1" applyAlignment="1">
      <alignment horizontal="center"/>
    </xf>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Распределение</a:t>
            </a:r>
            <a:r>
              <a:rPr lang="ru-RU" baseline="0"/>
              <a:t> бюджета по продуктам в рамках программ</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Output!$G$13</c:f>
              <c:strCache>
                <c:ptCount val="1"/>
                <c:pt idx="0">
                  <c:v>П1</c:v>
                </c:pt>
              </c:strCache>
            </c:strRef>
          </c:tx>
          <c:spPr>
            <a:solidFill>
              <a:schemeClr val="accent1"/>
            </a:solidFill>
            <a:ln>
              <a:noFill/>
            </a:ln>
            <a:effectLst/>
          </c:spPr>
          <c:invertIfNegative val="0"/>
          <c:cat>
            <c:strRef>
              <c:f>Output!$B$15:$B$19</c:f>
              <c:strCache>
                <c:ptCount val="5"/>
                <c:pt idx="0">
                  <c:v>Астероидная опасность</c:v>
                </c:pt>
                <c:pt idx="1">
                  <c:v>5G из космоса</c:v>
                </c:pt>
                <c:pt idx="2">
                  <c:v>Навигация 2.0</c:v>
                </c:pt>
                <c:pt idx="3">
                  <c:v>Энергетика транспорт</c:v>
                </c:pt>
                <c:pt idx="4">
                  <c:v>ОптоКванты</c:v>
                </c:pt>
              </c:strCache>
            </c:strRef>
          </c:cat>
          <c:val>
            <c:numRef>
              <c:f>Output!$G$15:$G$19</c:f>
              <c:numCache>
                <c:formatCode>_-* #,##0.0\ _₽_-;\-* #,##0.0\ _₽_-;_-* "-"??\ _₽_-;_-@_-</c:formatCode>
                <c:ptCount val="5"/>
                <c:pt idx="0">
                  <c:v>3042.5127147231196</c:v>
                </c:pt>
                <c:pt idx="1">
                  <c:v>16742.336877007365</c:v>
                </c:pt>
                <c:pt idx="2">
                  <c:v>17954.1008036567</c:v>
                </c:pt>
                <c:pt idx="3">
                  <c:v>4133.9475489329798</c:v>
                </c:pt>
                <c:pt idx="4">
                  <c:v>8851.6560646867856</c:v>
                </c:pt>
              </c:numCache>
            </c:numRef>
          </c:val>
          <c:extLst>
            <c:ext xmlns:c16="http://schemas.microsoft.com/office/drawing/2014/chart" uri="{C3380CC4-5D6E-409C-BE32-E72D297353CC}">
              <c16:uniqueId val="{00000000-5831-455B-BA2A-67E7C1824383}"/>
            </c:ext>
          </c:extLst>
        </c:ser>
        <c:ser>
          <c:idx val="1"/>
          <c:order val="1"/>
          <c:tx>
            <c:strRef>
              <c:f>Output!$H$13</c:f>
              <c:strCache>
                <c:ptCount val="1"/>
                <c:pt idx="0">
                  <c:v>П2</c:v>
                </c:pt>
              </c:strCache>
            </c:strRef>
          </c:tx>
          <c:spPr>
            <a:solidFill>
              <a:schemeClr val="accent2"/>
            </a:solidFill>
            <a:ln>
              <a:noFill/>
            </a:ln>
            <a:effectLst/>
          </c:spPr>
          <c:invertIfNegative val="0"/>
          <c:cat>
            <c:strRef>
              <c:f>Output!$B$15:$B$19</c:f>
              <c:strCache>
                <c:ptCount val="5"/>
                <c:pt idx="0">
                  <c:v>Астероидная опасность</c:v>
                </c:pt>
                <c:pt idx="1">
                  <c:v>5G из космоса</c:v>
                </c:pt>
                <c:pt idx="2">
                  <c:v>Навигация 2.0</c:v>
                </c:pt>
                <c:pt idx="3">
                  <c:v>Энергетика транспорт</c:v>
                </c:pt>
                <c:pt idx="4">
                  <c:v>ОптоКванты</c:v>
                </c:pt>
              </c:strCache>
            </c:strRef>
          </c:cat>
          <c:val>
            <c:numRef>
              <c:f>Output!$H$15:$H$19</c:f>
              <c:numCache>
                <c:formatCode>_-* #,##0.0\ _₽_-;\-* #,##0.0\ _₽_-;_-* "-"??\ _₽_-;_-@_-</c:formatCode>
                <c:ptCount val="5"/>
                <c:pt idx="0">
                  <c:v>14501.630482767396</c:v>
                </c:pt>
                <c:pt idx="1">
                  <c:v>13617.545698522314</c:v>
                </c:pt>
                <c:pt idx="2">
                  <c:v>12100.063145797829</c:v>
                </c:pt>
                <c:pt idx="3">
                  <c:v>3402.4624396829963</c:v>
                </c:pt>
                <c:pt idx="4">
                  <c:v>12283.842762593877</c:v>
                </c:pt>
              </c:numCache>
            </c:numRef>
          </c:val>
          <c:extLst>
            <c:ext xmlns:c16="http://schemas.microsoft.com/office/drawing/2014/chart" uri="{C3380CC4-5D6E-409C-BE32-E72D297353CC}">
              <c16:uniqueId val="{00000001-5831-455B-BA2A-67E7C1824383}"/>
            </c:ext>
          </c:extLst>
        </c:ser>
        <c:ser>
          <c:idx val="2"/>
          <c:order val="2"/>
          <c:tx>
            <c:strRef>
              <c:f>Output!$I$13</c:f>
              <c:strCache>
                <c:ptCount val="1"/>
                <c:pt idx="0">
                  <c:v>П3</c:v>
                </c:pt>
              </c:strCache>
            </c:strRef>
          </c:tx>
          <c:spPr>
            <a:solidFill>
              <a:schemeClr val="accent3"/>
            </a:solidFill>
            <a:ln>
              <a:noFill/>
            </a:ln>
            <a:effectLst/>
          </c:spPr>
          <c:invertIfNegative val="0"/>
          <c:cat>
            <c:strRef>
              <c:f>Output!$B$15:$B$19</c:f>
              <c:strCache>
                <c:ptCount val="5"/>
                <c:pt idx="0">
                  <c:v>Астероидная опасность</c:v>
                </c:pt>
                <c:pt idx="1">
                  <c:v>5G из космоса</c:v>
                </c:pt>
                <c:pt idx="2">
                  <c:v>Навигация 2.0</c:v>
                </c:pt>
                <c:pt idx="3">
                  <c:v>Энергетика транспорт</c:v>
                </c:pt>
                <c:pt idx="4">
                  <c:v>ОптоКванты</c:v>
                </c:pt>
              </c:strCache>
            </c:strRef>
          </c:cat>
          <c:val>
            <c:numRef>
              <c:f>Output!$I$15:$I$19</c:f>
              <c:numCache>
                <c:formatCode>_-* #,##0.0\ _₽_-;\-* #,##0.0\ _₽_-;_-* "-"??\ _₽_-;_-@_-</c:formatCode>
                <c:ptCount val="5"/>
                <c:pt idx="0">
                  <c:v>6095.0690702428174</c:v>
                </c:pt>
                <c:pt idx="1">
                  <c:v>8557.0452892387657</c:v>
                </c:pt>
                <c:pt idx="2">
                  <c:v>21375.242367122944</c:v>
                </c:pt>
                <c:pt idx="3">
                  <c:v>21545.602507720261</c:v>
                </c:pt>
                <c:pt idx="4">
                  <c:v>16796.941660718523</c:v>
                </c:pt>
              </c:numCache>
            </c:numRef>
          </c:val>
          <c:extLst>
            <c:ext xmlns:c16="http://schemas.microsoft.com/office/drawing/2014/chart" uri="{C3380CC4-5D6E-409C-BE32-E72D297353CC}">
              <c16:uniqueId val="{00000002-5831-455B-BA2A-67E7C1824383}"/>
            </c:ext>
          </c:extLst>
        </c:ser>
        <c:dLbls>
          <c:showLegendKey val="0"/>
          <c:showVal val="0"/>
          <c:showCatName val="0"/>
          <c:showSerName val="0"/>
          <c:showPercent val="0"/>
          <c:showBubbleSize val="0"/>
        </c:dLbls>
        <c:gapWidth val="150"/>
        <c:overlap val="100"/>
        <c:axId val="760612480"/>
        <c:axId val="760612808"/>
      </c:barChart>
      <c:catAx>
        <c:axId val="760612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0612808"/>
        <c:crosses val="autoZero"/>
        <c:auto val="1"/>
        <c:lblAlgn val="ctr"/>
        <c:lblOffset val="100"/>
        <c:noMultiLvlLbl val="0"/>
      </c:catAx>
      <c:valAx>
        <c:axId val="7606128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mln,</a:t>
                </a:r>
                <a:r>
                  <a:rPr lang="en-GB" baseline="0"/>
                  <a:t> rub</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0\ _₽_-;\-* #,##0.0\ _₽_-;_-* &quot;-&quot;??\ _₽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0612480"/>
        <c:crosses val="autoZero"/>
        <c:crossBetween val="between"/>
        <c:dispUnits>
          <c:builtInUnit val="thousands"/>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Распределение</a:t>
            </a:r>
            <a:r>
              <a:rPr lang="ru-RU" baseline="0"/>
              <a:t> бюджета по продуктам в рамках технологий</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Output!$C$24</c:f>
              <c:strCache>
                <c:ptCount val="1"/>
                <c:pt idx="0">
                  <c:v>ИИ</c:v>
                </c:pt>
              </c:strCache>
            </c:strRef>
          </c:tx>
          <c:spPr>
            <a:solidFill>
              <a:schemeClr val="accent1"/>
            </a:solidFill>
            <a:ln>
              <a:noFill/>
            </a:ln>
            <a:effectLst/>
          </c:spPr>
          <c:invertIfNegative val="0"/>
          <c:cat>
            <c:strRef>
              <c:f>Output!$B$25:$B$29</c:f>
              <c:strCache>
                <c:ptCount val="5"/>
                <c:pt idx="0">
                  <c:v>Астероидная опасность</c:v>
                </c:pt>
                <c:pt idx="1">
                  <c:v>5G из космоса</c:v>
                </c:pt>
                <c:pt idx="2">
                  <c:v>Навигация 2.0</c:v>
                </c:pt>
                <c:pt idx="3">
                  <c:v>Энергетика транспорт</c:v>
                </c:pt>
                <c:pt idx="4">
                  <c:v>ОптоКванты</c:v>
                </c:pt>
              </c:strCache>
            </c:strRef>
          </c:cat>
          <c:val>
            <c:numRef>
              <c:f>Output!$C$25:$C$29</c:f>
              <c:numCache>
                <c:formatCode>_-* #,##0.0\ _₽_-;\-* #,##0.0\ _₽_-;_-* "-"??\ _₽_-;_-@_-</c:formatCode>
                <c:ptCount val="5"/>
                <c:pt idx="0">
                  <c:v>1.8409878003094035E-13</c:v>
                </c:pt>
                <c:pt idx="1">
                  <c:v>4690.675482305448</c:v>
                </c:pt>
                <c:pt idx="2">
                  <c:v>5780.2107155660478</c:v>
                </c:pt>
                <c:pt idx="3">
                  <c:v>1.7835059217871116E-13</c:v>
                </c:pt>
                <c:pt idx="4">
                  <c:v>7035.6087432791774</c:v>
                </c:pt>
              </c:numCache>
            </c:numRef>
          </c:val>
          <c:extLst>
            <c:ext xmlns:c16="http://schemas.microsoft.com/office/drawing/2014/chart" uri="{C3380CC4-5D6E-409C-BE32-E72D297353CC}">
              <c16:uniqueId val="{00000000-84A0-4BA3-8D24-9D30D85C15F6}"/>
            </c:ext>
          </c:extLst>
        </c:ser>
        <c:ser>
          <c:idx val="1"/>
          <c:order val="1"/>
          <c:tx>
            <c:strRef>
              <c:f>Output!$D$24</c:f>
              <c:strCache>
                <c:ptCount val="1"/>
                <c:pt idx="0">
                  <c:v>Оптика</c:v>
                </c:pt>
              </c:strCache>
            </c:strRef>
          </c:tx>
          <c:spPr>
            <a:solidFill>
              <a:schemeClr val="accent2"/>
            </a:solidFill>
            <a:ln>
              <a:noFill/>
            </a:ln>
            <a:effectLst/>
          </c:spPr>
          <c:invertIfNegative val="0"/>
          <c:cat>
            <c:strRef>
              <c:f>Output!$B$25:$B$29</c:f>
              <c:strCache>
                <c:ptCount val="5"/>
                <c:pt idx="0">
                  <c:v>Астероидная опасность</c:v>
                </c:pt>
                <c:pt idx="1">
                  <c:v>5G из космоса</c:v>
                </c:pt>
                <c:pt idx="2">
                  <c:v>Навигация 2.0</c:v>
                </c:pt>
                <c:pt idx="3">
                  <c:v>Энергетика транспорт</c:v>
                </c:pt>
                <c:pt idx="4">
                  <c:v>ОптоКванты</c:v>
                </c:pt>
              </c:strCache>
            </c:strRef>
          </c:cat>
          <c:val>
            <c:numRef>
              <c:f>Output!$D$25:$D$29</c:f>
              <c:numCache>
                <c:formatCode>_-* #,##0.0\ _₽_-;\-* #,##0.0\ _₽_-;_-* "-"??\ _₽_-;_-@_-</c:formatCode>
                <c:ptCount val="5"/>
                <c:pt idx="0">
                  <c:v>3633.9729510518459</c:v>
                </c:pt>
                <c:pt idx="1">
                  <c:v>2.1545253195219051E-13</c:v>
                </c:pt>
                <c:pt idx="2">
                  <c:v>1.8002279228117785E-13</c:v>
                </c:pt>
                <c:pt idx="3">
                  <c:v>1.7835059217871116E-13</c:v>
                </c:pt>
                <c:pt idx="4">
                  <c:v>8606.1357237588727</c:v>
                </c:pt>
              </c:numCache>
            </c:numRef>
          </c:val>
          <c:extLst>
            <c:ext xmlns:c16="http://schemas.microsoft.com/office/drawing/2014/chart" uri="{C3380CC4-5D6E-409C-BE32-E72D297353CC}">
              <c16:uniqueId val="{00000001-84A0-4BA3-8D24-9D30D85C15F6}"/>
            </c:ext>
          </c:extLst>
        </c:ser>
        <c:ser>
          <c:idx val="2"/>
          <c:order val="2"/>
          <c:tx>
            <c:strRef>
              <c:f>Output!$E$24</c:f>
              <c:strCache>
                <c:ptCount val="1"/>
                <c:pt idx="0">
                  <c:v>Ист Энергии</c:v>
                </c:pt>
              </c:strCache>
            </c:strRef>
          </c:tx>
          <c:spPr>
            <a:solidFill>
              <a:schemeClr val="accent3"/>
            </a:solidFill>
            <a:ln>
              <a:noFill/>
            </a:ln>
            <a:effectLst/>
          </c:spPr>
          <c:invertIfNegative val="0"/>
          <c:cat>
            <c:strRef>
              <c:f>Output!$B$25:$B$29</c:f>
              <c:strCache>
                <c:ptCount val="5"/>
                <c:pt idx="0">
                  <c:v>Астероидная опасность</c:v>
                </c:pt>
                <c:pt idx="1">
                  <c:v>5G из космоса</c:v>
                </c:pt>
                <c:pt idx="2">
                  <c:v>Навигация 2.0</c:v>
                </c:pt>
                <c:pt idx="3">
                  <c:v>Энергетика транспорт</c:v>
                </c:pt>
                <c:pt idx="4">
                  <c:v>ОптоКванты</c:v>
                </c:pt>
              </c:strCache>
            </c:strRef>
          </c:cat>
          <c:val>
            <c:numRef>
              <c:f>Output!$E$25:$E$29</c:f>
              <c:numCache>
                <c:formatCode>_-* #,##0.0\ _₽_-;\-* #,##0.0\ _₽_-;_-* "-"??\ _₽_-;_-@_-</c:formatCode>
                <c:ptCount val="5"/>
                <c:pt idx="0">
                  <c:v>3634.0634942716379</c:v>
                </c:pt>
                <c:pt idx="1">
                  <c:v>6135.7619098759315</c:v>
                </c:pt>
                <c:pt idx="2">
                  <c:v>3275.7243793178395</c:v>
                </c:pt>
                <c:pt idx="3">
                  <c:v>7107.8466161768056</c:v>
                </c:pt>
                <c:pt idx="4">
                  <c:v>1.8791348651469246E-13</c:v>
                </c:pt>
              </c:numCache>
            </c:numRef>
          </c:val>
          <c:extLst>
            <c:ext xmlns:c16="http://schemas.microsoft.com/office/drawing/2014/chart" uri="{C3380CC4-5D6E-409C-BE32-E72D297353CC}">
              <c16:uniqueId val="{00000002-84A0-4BA3-8D24-9D30D85C15F6}"/>
            </c:ext>
          </c:extLst>
        </c:ser>
        <c:ser>
          <c:idx val="3"/>
          <c:order val="3"/>
          <c:tx>
            <c:strRef>
              <c:f>Output!$F$24</c:f>
              <c:strCache>
                <c:ptCount val="1"/>
                <c:pt idx="0">
                  <c:v>  Робот прз</c:v>
                </c:pt>
              </c:strCache>
            </c:strRef>
          </c:tx>
          <c:spPr>
            <a:solidFill>
              <a:schemeClr val="accent4"/>
            </a:solidFill>
            <a:ln>
              <a:noFill/>
            </a:ln>
            <a:effectLst/>
          </c:spPr>
          <c:invertIfNegative val="0"/>
          <c:cat>
            <c:strRef>
              <c:f>Output!$B$25:$B$29</c:f>
              <c:strCache>
                <c:ptCount val="5"/>
                <c:pt idx="0">
                  <c:v>Астероидная опасность</c:v>
                </c:pt>
                <c:pt idx="1">
                  <c:v>5G из космоса</c:v>
                </c:pt>
                <c:pt idx="2">
                  <c:v>Навигация 2.0</c:v>
                </c:pt>
                <c:pt idx="3">
                  <c:v>Энергетика транспорт</c:v>
                </c:pt>
                <c:pt idx="4">
                  <c:v>ОптоКванты</c:v>
                </c:pt>
              </c:strCache>
            </c:strRef>
          </c:cat>
          <c:val>
            <c:numRef>
              <c:f>Output!$F$25:$F$29</c:f>
              <c:numCache>
                <c:formatCode>_-* #,##0.0\ _₽_-;\-* #,##0.0\ _₽_-;_-* "-"??\ _₽_-;_-@_-</c:formatCode>
                <c:ptCount val="5"/>
                <c:pt idx="0">
                  <c:v>1.8409878003094035E-13</c:v>
                </c:pt>
                <c:pt idx="1">
                  <c:v>7955.2254208463173</c:v>
                </c:pt>
                <c:pt idx="2">
                  <c:v>8962.6510078972224</c:v>
                </c:pt>
                <c:pt idx="3">
                  <c:v>1.7835059217871116E-13</c:v>
                </c:pt>
                <c:pt idx="4">
                  <c:v>1.8791348651469246E-13</c:v>
                </c:pt>
              </c:numCache>
            </c:numRef>
          </c:val>
          <c:extLst>
            <c:ext xmlns:c16="http://schemas.microsoft.com/office/drawing/2014/chart" uri="{C3380CC4-5D6E-409C-BE32-E72D297353CC}">
              <c16:uniqueId val="{0000000C-84A0-4BA3-8D24-9D30D85C15F6}"/>
            </c:ext>
          </c:extLst>
        </c:ser>
        <c:ser>
          <c:idx val="4"/>
          <c:order val="4"/>
          <c:tx>
            <c:strRef>
              <c:f>Output!$G$24</c:f>
              <c:strCache>
                <c:ptCount val="1"/>
                <c:pt idx="0">
                  <c:v>КосмТех</c:v>
                </c:pt>
              </c:strCache>
            </c:strRef>
          </c:tx>
          <c:spPr>
            <a:solidFill>
              <a:schemeClr val="accent5"/>
            </a:solidFill>
            <a:ln>
              <a:noFill/>
            </a:ln>
            <a:effectLst/>
          </c:spPr>
          <c:invertIfNegative val="0"/>
          <c:cat>
            <c:strRef>
              <c:f>Output!$B$25:$B$29</c:f>
              <c:strCache>
                <c:ptCount val="5"/>
                <c:pt idx="0">
                  <c:v>Астероидная опасность</c:v>
                </c:pt>
                <c:pt idx="1">
                  <c:v>5G из космоса</c:v>
                </c:pt>
                <c:pt idx="2">
                  <c:v>Навигация 2.0</c:v>
                </c:pt>
                <c:pt idx="3">
                  <c:v>Энергетика транспорт</c:v>
                </c:pt>
                <c:pt idx="4">
                  <c:v>ОптоКванты</c:v>
                </c:pt>
              </c:strCache>
            </c:strRef>
          </c:cat>
          <c:val>
            <c:numRef>
              <c:f>Output!$G$25:$G$29</c:f>
              <c:numCache>
                <c:formatCode>_-* #,##0.0\ _₽_-;\-* #,##0.0\ _₽_-;_-* "-"??\ _₽_-;_-@_-</c:formatCode>
                <c:ptCount val="5"/>
                <c:pt idx="0">
                  <c:v>8734.1754223621574</c:v>
                </c:pt>
                <c:pt idx="1">
                  <c:v>10406.508517034825</c:v>
                </c:pt>
                <c:pt idx="2">
                  <c:v>8963.0626057602367</c:v>
                </c:pt>
                <c:pt idx="3">
                  <c:v>1.7835059217871116E-13</c:v>
                </c:pt>
                <c:pt idx="4">
                  <c:v>1.8791348651469246E-13</c:v>
                </c:pt>
              </c:numCache>
            </c:numRef>
          </c:val>
          <c:extLst>
            <c:ext xmlns:c16="http://schemas.microsoft.com/office/drawing/2014/chart" uri="{C3380CC4-5D6E-409C-BE32-E72D297353CC}">
              <c16:uniqueId val="{0000000D-84A0-4BA3-8D24-9D30D85C15F6}"/>
            </c:ext>
          </c:extLst>
        </c:ser>
        <c:ser>
          <c:idx val="5"/>
          <c:order val="5"/>
          <c:tx>
            <c:strRef>
              <c:f>Output!$H$24</c:f>
              <c:strCache>
                <c:ptCount val="1"/>
                <c:pt idx="0">
                  <c:v>ЭлемБаза</c:v>
                </c:pt>
              </c:strCache>
            </c:strRef>
          </c:tx>
          <c:spPr>
            <a:solidFill>
              <a:schemeClr val="accent6"/>
            </a:solidFill>
            <a:ln>
              <a:noFill/>
            </a:ln>
            <a:effectLst/>
          </c:spPr>
          <c:invertIfNegative val="0"/>
          <c:cat>
            <c:strRef>
              <c:f>Output!$B$25:$B$29</c:f>
              <c:strCache>
                <c:ptCount val="5"/>
                <c:pt idx="0">
                  <c:v>Астероидная опасность</c:v>
                </c:pt>
                <c:pt idx="1">
                  <c:v>5G из космоса</c:v>
                </c:pt>
                <c:pt idx="2">
                  <c:v>Навигация 2.0</c:v>
                </c:pt>
                <c:pt idx="3">
                  <c:v>Энергетика транспорт</c:v>
                </c:pt>
                <c:pt idx="4">
                  <c:v>ОптоКванты</c:v>
                </c:pt>
              </c:strCache>
            </c:strRef>
          </c:cat>
          <c:val>
            <c:numRef>
              <c:f>Output!$H$25:$H$29</c:f>
              <c:numCache>
                <c:formatCode>_-* #,##0.0\ _₽_-;\-* #,##0.0\ _₽_-;_-* "-"??\ _₽_-;_-@_-</c:formatCode>
                <c:ptCount val="5"/>
                <c:pt idx="0">
                  <c:v>7637.0004000476956</c:v>
                </c:pt>
                <c:pt idx="1">
                  <c:v>9728.756534705919</c:v>
                </c:pt>
                <c:pt idx="2">
                  <c:v>9585.1462749634757</c:v>
                </c:pt>
                <c:pt idx="3">
                  <c:v>8277.1865181524336</c:v>
                </c:pt>
                <c:pt idx="4">
                  <c:v>11400.286730013429</c:v>
                </c:pt>
              </c:numCache>
            </c:numRef>
          </c:val>
          <c:extLst>
            <c:ext xmlns:c16="http://schemas.microsoft.com/office/drawing/2014/chart" uri="{C3380CC4-5D6E-409C-BE32-E72D297353CC}">
              <c16:uniqueId val="{0000000E-84A0-4BA3-8D24-9D30D85C15F6}"/>
            </c:ext>
          </c:extLst>
        </c:ser>
        <c:ser>
          <c:idx val="6"/>
          <c:order val="6"/>
          <c:tx>
            <c:strRef>
              <c:f>Output!$I$24</c:f>
              <c:strCache>
                <c:ptCount val="1"/>
                <c:pt idx="0">
                  <c:v>Прочие ресурсы</c:v>
                </c:pt>
              </c:strCache>
            </c:strRef>
          </c:tx>
          <c:spPr>
            <a:solidFill>
              <a:schemeClr val="accent1">
                <a:lumMod val="60000"/>
              </a:schemeClr>
            </a:solidFill>
            <a:ln>
              <a:noFill/>
            </a:ln>
            <a:effectLst/>
          </c:spPr>
          <c:invertIfNegative val="0"/>
          <c:cat>
            <c:strRef>
              <c:f>Output!$B$25:$B$29</c:f>
              <c:strCache>
                <c:ptCount val="5"/>
                <c:pt idx="0">
                  <c:v>Астероидная опасность</c:v>
                </c:pt>
                <c:pt idx="1">
                  <c:v>5G из космоса</c:v>
                </c:pt>
                <c:pt idx="2">
                  <c:v>Навигация 2.0</c:v>
                </c:pt>
                <c:pt idx="3">
                  <c:v>Энергетика транспорт</c:v>
                </c:pt>
                <c:pt idx="4">
                  <c:v>ОптоКванты</c:v>
                </c:pt>
              </c:strCache>
            </c:strRef>
          </c:cat>
          <c:val>
            <c:numRef>
              <c:f>Output!$I$25:$I$29</c:f>
              <c:numCache>
                <c:formatCode>_-* #,##0.0\ _₽_-;\-* #,##0.0\ _₽_-;_-* "-"??\ _₽_-;_-@_-</c:formatCode>
                <c:ptCount val="5"/>
                <c:pt idx="0">
                  <c:v>8.8464818036399342E-14</c:v>
                </c:pt>
                <c:pt idx="1">
                  <c:v>1.0353120771049518E-13</c:v>
                </c:pt>
                <c:pt idx="2">
                  <c:v>14862.611333072649</c:v>
                </c:pt>
                <c:pt idx="3">
                  <c:v>13696.979362006996</c:v>
                </c:pt>
                <c:pt idx="4">
                  <c:v>10890.409290947704</c:v>
                </c:pt>
              </c:numCache>
            </c:numRef>
          </c:val>
          <c:extLst>
            <c:ext xmlns:c16="http://schemas.microsoft.com/office/drawing/2014/chart" uri="{C3380CC4-5D6E-409C-BE32-E72D297353CC}">
              <c16:uniqueId val="{0000000F-84A0-4BA3-8D24-9D30D85C15F6}"/>
            </c:ext>
          </c:extLst>
        </c:ser>
        <c:dLbls>
          <c:showLegendKey val="0"/>
          <c:showVal val="0"/>
          <c:showCatName val="0"/>
          <c:showSerName val="0"/>
          <c:showPercent val="0"/>
          <c:showBubbleSize val="0"/>
        </c:dLbls>
        <c:gapWidth val="150"/>
        <c:overlap val="100"/>
        <c:axId val="760612480"/>
        <c:axId val="760612808"/>
      </c:barChart>
      <c:catAx>
        <c:axId val="760612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0612808"/>
        <c:crosses val="autoZero"/>
        <c:auto val="1"/>
        <c:lblAlgn val="ctr"/>
        <c:lblOffset val="100"/>
        <c:noMultiLvlLbl val="0"/>
      </c:catAx>
      <c:valAx>
        <c:axId val="7606128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mln,</a:t>
                </a:r>
                <a:r>
                  <a:rPr lang="en-GB" baseline="0"/>
                  <a:t> rub</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0\ _₽_-;\-* #,##0.0\ _₽_-;_-* &quot;-&quot;??\ _₽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0612480"/>
        <c:crosses val="autoZero"/>
        <c:crossBetween val="between"/>
        <c:dispUnits>
          <c:builtInUnit val="thousands"/>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Распределение</a:t>
            </a:r>
            <a:r>
              <a:rPr lang="ru-RU" baseline="0"/>
              <a:t> бюджета по технологиям в рамках программ</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Output!$B$35</c:f>
              <c:strCache>
                <c:ptCount val="1"/>
                <c:pt idx="0">
                  <c:v>П1</c:v>
                </c:pt>
              </c:strCache>
            </c:strRef>
          </c:tx>
          <c:spPr>
            <a:solidFill>
              <a:schemeClr val="accent1"/>
            </a:solidFill>
            <a:ln>
              <a:noFill/>
            </a:ln>
            <a:effectLst/>
          </c:spPr>
          <c:invertIfNegative val="0"/>
          <c:cat>
            <c:strRef>
              <c:f>Output!$C$34:$I$34</c:f>
              <c:strCache>
                <c:ptCount val="7"/>
                <c:pt idx="0">
                  <c:v>ИИ</c:v>
                </c:pt>
                <c:pt idx="1">
                  <c:v>Оптика</c:v>
                </c:pt>
                <c:pt idx="2">
                  <c:v>Ист Энергии</c:v>
                </c:pt>
                <c:pt idx="3">
                  <c:v>  Робот прз</c:v>
                </c:pt>
                <c:pt idx="4">
                  <c:v>КосмТех</c:v>
                </c:pt>
                <c:pt idx="5">
                  <c:v>ЭлемБаза</c:v>
                </c:pt>
                <c:pt idx="6">
                  <c:v>Прочие ресурсы</c:v>
                </c:pt>
              </c:strCache>
            </c:strRef>
          </c:cat>
          <c:val>
            <c:numRef>
              <c:f>Output!$C$35:$I$35</c:f>
              <c:numCache>
                <c:formatCode>_-* #,##0.0\ _₽_-;\-* #,##0.0\ _₽_-;_-* "-"??\ _₽_-;_-@_-</c:formatCode>
                <c:ptCount val="7"/>
                <c:pt idx="0">
                  <c:v>16541.023708498466</c:v>
                </c:pt>
                <c:pt idx="1">
                  <c:v>3.092442619589336E-7</c:v>
                </c:pt>
                <c:pt idx="2">
                  <c:v>6903.7305513075407</c:v>
                </c:pt>
                <c:pt idx="3">
                  <c:v>16917.876780064595</c:v>
                </c:pt>
                <c:pt idx="4">
                  <c:v>1434.0346090328173</c:v>
                </c:pt>
                <c:pt idx="5">
                  <c:v>8254.4919652769531</c:v>
                </c:pt>
                <c:pt idx="6">
                  <c:v>673.39652117304854</c:v>
                </c:pt>
              </c:numCache>
            </c:numRef>
          </c:val>
          <c:extLst>
            <c:ext xmlns:c16="http://schemas.microsoft.com/office/drawing/2014/chart" uri="{C3380CC4-5D6E-409C-BE32-E72D297353CC}">
              <c16:uniqueId val="{00000000-85D7-468A-89A2-EDAB128B44DE}"/>
            </c:ext>
          </c:extLst>
        </c:ser>
        <c:ser>
          <c:idx val="1"/>
          <c:order val="1"/>
          <c:tx>
            <c:strRef>
              <c:f>Output!$B$36</c:f>
              <c:strCache>
                <c:ptCount val="1"/>
                <c:pt idx="0">
                  <c:v>П2</c:v>
                </c:pt>
              </c:strCache>
            </c:strRef>
          </c:tx>
          <c:spPr>
            <a:solidFill>
              <a:schemeClr val="accent2"/>
            </a:solidFill>
            <a:ln>
              <a:noFill/>
            </a:ln>
            <a:effectLst/>
          </c:spPr>
          <c:invertIfNegative val="0"/>
          <c:cat>
            <c:strRef>
              <c:f>Output!$C$34:$I$34</c:f>
              <c:strCache>
                <c:ptCount val="7"/>
                <c:pt idx="0">
                  <c:v>ИИ</c:v>
                </c:pt>
                <c:pt idx="1">
                  <c:v>Оптика</c:v>
                </c:pt>
                <c:pt idx="2">
                  <c:v>Ист Энергии</c:v>
                </c:pt>
                <c:pt idx="3">
                  <c:v>  Робот прз</c:v>
                </c:pt>
                <c:pt idx="4">
                  <c:v>КосмТех</c:v>
                </c:pt>
                <c:pt idx="5">
                  <c:v>ЭлемБаза</c:v>
                </c:pt>
                <c:pt idx="6">
                  <c:v>Прочие ресурсы</c:v>
                </c:pt>
              </c:strCache>
            </c:strRef>
          </c:cat>
          <c:val>
            <c:numRef>
              <c:f>Output!$C$36:$I$36</c:f>
              <c:numCache>
                <c:formatCode>_-* #,##0.0\ _₽_-;\-* #,##0.0\ _₽_-;_-* "-"??\ _₽_-;_-@_-</c:formatCode>
                <c:ptCount val="7"/>
                <c:pt idx="0">
                  <c:v>965.47089338903618</c:v>
                </c:pt>
                <c:pt idx="1">
                  <c:v>12240.108313834367</c:v>
                </c:pt>
                <c:pt idx="2">
                  <c:v>2646.0617862805802</c:v>
                </c:pt>
                <c:pt idx="3">
                  <c:v>3.4693487558473067E-7</c:v>
                </c:pt>
                <c:pt idx="4">
                  <c:v>26669.712459234779</c:v>
                </c:pt>
                <c:pt idx="5">
                  <c:v>12834.054830089042</c:v>
                </c:pt>
                <c:pt idx="6">
                  <c:v>550.13657447756339</c:v>
                </c:pt>
              </c:numCache>
            </c:numRef>
          </c:val>
          <c:extLst>
            <c:ext xmlns:c16="http://schemas.microsoft.com/office/drawing/2014/chart" uri="{C3380CC4-5D6E-409C-BE32-E72D297353CC}">
              <c16:uniqueId val="{00000001-85D7-468A-89A2-EDAB128B44DE}"/>
            </c:ext>
          </c:extLst>
        </c:ser>
        <c:ser>
          <c:idx val="2"/>
          <c:order val="2"/>
          <c:tx>
            <c:strRef>
              <c:f>Output!$B$37</c:f>
              <c:strCache>
                <c:ptCount val="1"/>
                <c:pt idx="0">
                  <c:v>П3</c:v>
                </c:pt>
              </c:strCache>
            </c:strRef>
          </c:tx>
          <c:spPr>
            <a:solidFill>
              <a:schemeClr val="accent3"/>
            </a:solidFill>
            <a:ln>
              <a:noFill/>
            </a:ln>
            <a:effectLst/>
          </c:spPr>
          <c:invertIfNegative val="0"/>
          <c:cat>
            <c:strRef>
              <c:f>Output!$C$34:$I$34</c:f>
              <c:strCache>
                <c:ptCount val="7"/>
                <c:pt idx="0">
                  <c:v>ИИ</c:v>
                </c:pt>
                <c:pt idx="1">
                  <c:v>Оптика</c:v>
                </c:pt>
                <c:pt idx="2">
                  <c:v>Ист Энергии</c:v>
                </c:pt>
                <c:pt idx="3">
                  <c:v>  Робот прз</c:v>
                </c:pt>
                <c:pt idx="4">
                  <c:v>КосмТех</c:v>
                </c:pt>
                <c:pt idx="5">
                  <c:v>ЭлемБаза</c:v>
                </c:pt>
                <c:pt idx="6">
                  <c:v>Прочие ресурсы</c:v>
                </c:pt>
              </c:strCache>
            </c:strRef>
          </c:cat>
          <c:val>
            <c:numRef>
              <c:f>Output!$C$37:$I$37</c:f>
              <c:numCache>
                <c:formatCode>_-* #,##0.0\ _₽_-;\-* #,##0.0\ _₽_-;_-* "-"??\ _₽_-;_-@_-</c:formatCode>
                <c:ptCount val="7"/>
                <c:pt idx="0">
                  <c:v>6.0999999756256029E-7</c:v>
                </c:pt>
                <c:pt idx="1">
                  <c:v>6.1000005047162631E-7</c:v>
                </c:pt>
                <c:pt idx="2">
                  <c:v>10603.603797288823</c:v>
                </c:pt>
                <c:pt idx="3">
                  <c:v>2.7450000000016593E-6</c:v>
                </c:pt>
                <c:pt idx="4">
                  <c:v>2.7449999999987531E-6</c:v>
                </c:pt>
                <c:pt idx="5">
                  <c:v>25539.830544838962</c:v>
                </c:pt>
                <c:pt idx="6">
                  <c:v>38226.466883911213</c:v>
                </c:pt>
              </c:numCache>
            </c:numRef>
          </c:val>
          <c:extLst>
            <c:ext xmlns:c16="http://schemas.microsoft.com/office/drawing/2014/chart" uri="{C3380CC4-5D6E-409C-BE32-E72D297353CC}">
              <c16:uniqueId val="{00000002-85D7-468A-89A2-EDAB128B44DE}"/>
            </c:ext>
          </c:extLst>
        </c:ser>
        <c:dLbls>
          <c:showLegendKey val="0"/>
          <c:showVal val="0"/>
          <c:showCatName val="0"/>
          <c:showSerName val="0"/>
          <c:showPercent val="0"/>
          <c:showBubbleSize val="0"/>
        </c:dLbls>
        <c:gapWidth val="150"/>
        <c:overlap val="100"/>
        <c:axId val="760612480"/>
        <c:axId val="760612808"/>
      </c:barChart>
      <c:catAx>
        <c:axId val="760612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0612808"/>
        <c:crosses val="autoZero"/>
        <c:auto val="1"/>
        <c:lblAlgn val="ctr"/>
        <c:lblOffset val="100"/>
        <c:noMultiLvlLbl val="0"/>
      </c:catAx>
      <c:valAx>
        <c:axId val="7606128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mln,</a:t>
                </a:r>
                <a:r>
                  <a:rPr lang="en-GB" baseline="0"/>
                  <a:t> rub</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0\ _₽_-;\-* #,##0.0\ _₽_-;_-* &quot;-&quot;??\ _₽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0612480"/>
        <c:crosses val="autoZero"/>
        <c:crossBetween val="between"/>
        <c:dispUnits>
          <c:builtInUnit val="thousands"/>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39" fmlaLink="' Interactive'!$B$6" horiz="1" inc="3" max="100" noThreeD="1" page="10" val="66"/>
</file>

<file path=xl/ctrlProps/ctrlProp2.xml><?xml version="1.0" encoding="utf-8"?>
<formControlPr xmlns="http://schemas.microsoft.com/office/spreadsheetml/2009/9/main" objectType="Scroll" dx="39" fmlaLink="' Interactive'!$B$7" horiz="1" inc="3" max="100" noThreeD="1" page="10" val="54"/>
</file>

<file path=xl/ctrlProps/ctrlProp3.xml><?xml version="1.0" encoding="utf-8"?>
<formControlPr xmlns="http://schemas.microsoft.com/office/spreadsheetml/2009/9/main" objectType="Scroll" dx="39" fmlaLink="' Interactive'!$B$8" horiz="1" inc="3" max="100" noThreeD="1" page="10" val="61"/>
</file>

<file path=xl/ctrlProps/ctrlProp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xdr:from>
      <xdr:col>1</xdr:col>
      <xdr:colOff>19050</xdr:colOff>
      <xdr:row>0</xdr:row>
      <xdr:rowOff>19050</xdr:rowOff>
    </xdr:from>
    <xdr:to>
      <xdr:col>19</xdr:col>
      <xdr:colOff>19050</xdr:colOff>
      <xdr:row>1</xdr:row>
      <xdr:rowOff>180975</xdr:rowOff>
    </xdr:to>
    <xdr:sp macro="" textlink="">
      <xdr:nvSpPr>
        <xdr:cNvPr id="8" name="Прямоугольник 7">
          <a:extLst>
            <a:ext uri="{FF2B5EF4-FFF2-40B4-BE49-F238E27FC236}">
              <a16:creationId xmlns:a16="http://schemas.microsoft.com/office/drawing/2014/main" id="{00000000-0008-0000-0200-000008000000}"/>
            </a:ext>
          </a:extLst>
        </xdr:cNvPr>
        <xdr:cNvSpPr/>
      </xdr:nvSpPr>
      <xdr:spPr>
        <a:xfrm>
          <a:off x="19050" y="19050"/>
          <a:ext cx="11458575" cy="352425"/>
        </a:xfrm>
        <a:prstGeom prst="rect">
          <a:avLst/>
        </a:prstGeom>
        <a:solidFill>
          <a:schemeClr val="accent5">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ru-RU" sz="1100" b="1">
              <a:solidFill>
                <a:sysClr val="windowText" lastClr="000000"/>
              </a:solidFill>
            </a:rPr>
            <a:t>Исходные</a:t>
          </a:r>
          <a:r>
            <a:rPr lang="ru-RU" sz="1100" b="1" baseline="0">
              <a:solidFill>
                <a:sysClr val="windowText" lastClr="000000"/>
              </a:solidFill>
            </a:rPr>
            <a:t> условия задаются экспертом (ами) до начала процесса сценирования полезности и решения задачи оценки сбалансированного финансирования программ и проектов </a:t>
          </a:r>
          <a:endParaRPr lang="ru-RU" sz="1100">
            <a:solidFill>
              <a:sysClr val="windowText" lastClr="000000"/>
            </a:solidFill>
          </a:endParaRPr>
        </a:p>
      </xdr:txBody>
    </xdr:sp>
    <xdr:clientData/>
  </xdr:twoCellAnchor>
  <xdr:twoCellAnchor>
    <xdr:from>
      <xdr:col>10</xdr:col>
      <xdr:colOff>200025</xdr:colOff>
      <xdr:row>3</xdr:row>
      <xdr:rowOff>0</xdr:rowOff>
    </xdr:from>
    <xdr:to>
      <xdr:col>18</xdr:col>
      <xdr:colOff>609599</xdr:colOff>
      <xdr:row>5</xdr:row>
      <xdr:rowOff>733424</xdr:rowOff>
    </xdr:to>
    <xdr:sp macro="" textlink="">
      <xdr:nvSpPr>
        <xdr:cNvPr id="7" name="Прямоугольник 6">
          <a:extLst>
            <a:ext uri="{FF2B5EF4-FFF2-40B4-BE49-F238E27FC236}">
              <a16:creationId xmlns:a16="http://schemas.microsoft.com/office/drawing/2014/main" id="{00000000-0008-0000-0200-000007000000}"/>
            </a:ext>
          </a:extLst>
        </xdr:cNvPr>
        <xdr:cNvSpPr/>
      </xdr:nvSpPr>
      <xdr:spPr>
        <a:xfrm>
          <a:off x="5972175" y="504825"/>
          <a:ext cx="5505449" cy="1114424"/>
        </a:xfrm>
        <a:prstGeom prst="rect">
          <a:avLst/>
        </a:prstGeom>
        <a:solidFill>
          <a:schemeClr val="accent5">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ru-RU" sz="1100" b="1">
              <a:solidFill>
                <a:sysClr val="windowText" lastClr="000000"/>
              </a:solidFill>
            </a:rPr>
            <a:t>Шаг 1:  </a:t>
          </a:r>
        </a:p>
        <a:p>
          <a:pPr algn="l"/>
          <a:r>
            <a:rPr lang="ru-RU" sz="1100">
              <a:solidFill>
                <a:sysClr val="windowText" lastClr="000000"/>
              </a:solidFill>
            </a:rPr>
            <a:t>Установить  индекс емкости (вклада)</a:t>
          </a:r>
          <a:r>
            <a:rPr lang="ru-RU" sz="1100" baseline="0">
              <a:solidFill>
                <a:sysClr val="windowText" lastClr="000000"/>
              </a:solidFill>
            </a:rPr>
            <a:t> ресурсов в %, чтобы остаток по </a:t>
          </a:r>
          <a:r>
            <a:rPr lang="en-US" sz="1100" baseline="0">
              <a:solidFill>
                <a:sysClr val="windowText" lastClr="000000"/>
              </a:solidFill>
            </a:rPr>
            <a:t>i</a:t>
          </a:r>
          <a:r>
            <a:rPr lang="ru-RU" sz="1100" baseline="0">
              <a:solidFill>
                <a:sysClr val="windowText" lastClr="000000"/>
              </a:solidFill>
            </a:rPr>
            <a:t>-строке  равен  0%. </a:t>
          </a:r>
          <a:br>
            <a:rPr lang="ru-RU" sz="1100" baseline="0">
              <a:solidFill>
                <a:sysClr val="windowText" lastClr="000000"/>
              </a:solidFill>
            </a:rPr>
          </a:br>
          <a:r>
            <a:rPr lang="ru-RU" sz="1100" baseline="0">
              <a:solidFill>
                <a:sysClr val="windowText" lastClr="000000"/>
              </a:solidFill>
            </a:rPr>
            <a:t>В структуре продукции потребление ресурсов рассматривается только в технологической части (технологии, программы, материалы, узлы и части, оборудование, ПО, специальные системы и т.д.)</a:t>
          </a:r>
          <a:endParaRPr lang="ru-RU" sz="1100">
            <a:solidFill>
              <a:sysClr val="windowText" lastClr="000000"/>
            </a:solidFill>
          </a:endParaRPr>
        </a:p>
      </xdr:txBody>
    </xdr:sp>
    <xdr:clientData/>
  </xdr:twoCellAnchor>
  <xdr:twoCellAnchor>
    <xdr:from>
      <xdr:col>10</xdr:col>
      <xdr:colOff>171450</xdr:colOff>
      <xdr:row>13</xdr:row>
      <xdr:rowOff>0</xdr:rowOff>
    </xdr:from>
    <xdr:to>
      <xdr:col>19</xdr:col>
      <xdr:colOff>19052</xdr:colOff>
      <xdr:row>20</xdr:row>
      <xdr:rowOff>133350</xdr:rowOff>
    </xdr:to>
    <xdr:sp macro="" textlink="">
      <xdr:nvSpPr>
        <xdr:cNvPr id="9" name="Прямоугольник 8">
          <a:extLst>
            <a:ext uri="{FF2B5EF4-FFF2-40B4-BE49-F238E27FC236}">
              <a16:creationId xmlns:a16="http://schemas.microsoft.com/office/drawing/2014/main" id="{00000000-0008-0000-0200-000009000000}"/>
            </a:ext>
          </a:extLst>
        </xdr:cNvPr>
        <xdr:cNvSpPr/>
      </xdr:nvSpPr>
      <xdr:spPr>
        <a:xfrm>
          <a:off x="6086475" y="3076575"/>
          <a:ext cx="5553077" cy="1762125"/>
        </a:xfrm>
        <a:prstGeom prst="rect">
          <a:avLst/>
        </a:prstGeom>
        <a:solidFill>
          <a:schemeClr val="accent5">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ru-RU" sz="1100" b="1">
              <a:solidFill>
                <a:sysClr val="windowText" lastClr="000000"/>
              </a:solidFill>
            </a:rPr>
            <a:t>Шаг 2:</a:t>
          </a:r>
        </a:p>
        <a:p>
          <a:pPr algn="l"/>
          <a:r>
            <a:rPr lang="ru-RU" sz="1100">
              <a:solidFill>
                <a:sysClr val="windowText" lastClr="000000"/>
              </a:solidFill>
            </a:rPr>
            <a:t>Установить  риски со</a:t>
          </a:r>
          <a:r>
            <a:rPr lang="ru-RU" sz="1100" baseline="0">
              <a:solidFill>
                <a:sysClr val="windowText" lastClr="000000"/>
              </a:solidFill>
            </a:rPr>
            <a:t> </a:t>
          </a:r>
          <a:r>
            <a:rPr lang="ru-RU" sz="1100">
              <a:solidFill>
                <a:sysClr val="windowText" lastClr="000000"/>
              </a:solidFill>
            </a:rPr>
            <a:t>следующей </a:t>
          </a:r>
          <a:r>
            <a:rPr lang="ru-RU" sz="1100" b="0">
              <a:solidFill>
                <a:sysClr val="windowText" lastClr="000000"/>
              </a:solidFill>
            </a:rPr>
            <a:t>градацией:</a:t>
          </a:r>
        </a:p>
        <a:p>
          <a:pPr algn="l"/>
          <a:r>
            <a:rPr lang="ru-RU" sz="1100" b="0" i="0" u="none" strike="noStrike">
              <a:solidFill>
                <a:sysClr val="windowText" lastClr="000000"/>
              </a:solidFill>
              <a:effectLst/>
              <a:latin typeface="+mn-lt"/>
              <a:ea typeface="+mn-ea"/>
              <a:cs typeface="+mn-cs"/>
            </a:rPr>
            <a:t>"</a:t>
          </a:r>
          <a:r>
            <a:rPr lang="ru-RU" sz="1100" b="1" i="0" u="none" strike="noStrike">
              <a:solidFill>
                <a:sysClr val="windowText" lastClr="000000"/>
              </a:solidFill>
              <a:effectLst/>
              <a:latin typeface="+mn-lt"/>
              <a:ea typeface="+mn-ea"/>
              <a:cs typeface="+mn-cs"/>
            </a:rPr>
            <a:t>0,0</a:t>
          </a:r>
          <a:r>
            <a:rPr lang="ru-RU" sz="1100" b="0" i="0" u="none" strike="noStrike">
              <a:solidFill>
                <a:sysClr val="windowText" lastClr="000000"/>
              </a:solidFill>
              <a:effectLst/>
              <a:latin typeface="+mn-lt"/>
              <a:ea typeface="+mn-ea"/>
              <a:cs typeface="+mn-cs"/>
            </a:rPr>
            <a:t>"</a:t>
          </a:r>
          <a:r>
            <a:rPr lang="ru-RU" b="0">
              <a:solidFill>
                <a:sysClr val="windowText" lastClr="000000"/>
              </a:solidFill>
            </a:rPr>
            <a:t> - </a:t>
          </a:r>
          <a:r>
            <a:rPr lang="ru-RU" sz="1100" b="0" i="0" u="none" strike="noStrike">
              <a:solidFill>
                <a:sysClr val="windowText" lastClr="000000"/>
              </a:solidFill>
              <a:effectLst/>
              <a:latin typeface="+mn-lt"/>
              <a:ea typeface="+mn-ea"/>
              <a:cs typeface="+mn-cs"/>
            </a:rPr>
            <a:t>практически невозможное событие (с вероятностью не  более  0,01)</a:t>
          </a:r>
        </a:p>
        <a:p>
          <a:pPr algn="l"/>
          <a:r>
            <a:rPr lang="ru-RU" sz="1100" b="0" i="0" u="none" strike="noStrike">
              <a:solidFill>
                <a:sysClr val="windowText" lastClr="000000"/>
              </a:solidFill>
              <a:effectLst/>
              <a:latin typeface="+mn-lt"/>
              <a:ea typeface="+mn-ea"/>
              <a:cs typeface="+mn-cs"/>
            </a:rPr>
            <a:t>"</a:t>
          </a:r>
          <a:r>
            <a:rPr lang="en-US" sz="1100" b="1" i="0" u="none" strike="noStrike">
              <a:solidFill>
                <a:sysClr val="windowText" lastClr="000000"/>
              </a:solidFill>
              <a:effectLst/>
              <a:latin typeface="+mn-lt"/>
              <a:ea typeface="+mn-ea"/>
              <a:cs typeface="+mn-cs"/>
            </a:rPr>
            <a:t>0</a:t>
          </a:r>
          <a:r>
            <a:rPr lang="ru-RU" sz="1100" b="1" i="0" u="none" strike="noStrike">
              <a:solidFill>
                <a:sysClr val="windowText" lastClr="000000"/>
              </a:solidFill>
              <a:effectLst/>
              <a:latin typeface="+mn-lt"/>
              <a:ea typeface="+mn-ea"/>
              <a:cs typeface="+mn-cs"/>
            </a:rPr>
            <a:t>,</a:t>
          </a:r>
          <a:r>
            <a:rPr lang="en-US" sz="1100" b="1" i="0" u="none" strike="noStrike">
              <a:solidFill>
                <a:sysClr val="windowText" lastClr="000000"/>
              </a:solidFill>
              <a:effectLst/>
              <a:latin typeface="+mn-lt"/>
              <a:ea typeface="+mn-ea"/>
              <a:cs typeface="+mn-cs"/>
            </a:rPr>
            <a:t>2</a:t>
          </a:r>
          <a:r>
            <a:rPr lang="ru-RU" sz="1100" b="0" i="0" u="none" strike="noStrike">
              <a:solidFill>
                <a:sysClr val="windowText" lastClr="000000"/>
              </a:solidFill>
              <a:effectLst/>
              <a:latin typeface="+mn-lt"/>
              <a:ea typeface="+mn-ea"/>
              <a:cs typeface="+mn-cs"/>
            </a:rPr>
            <a:t>"</a:t>
          </a:r>
          <a:r>
            <a:rPr lang="ru-RU" b="0">
              <a:solidFill>
                <a:sysClr val="windowText" lastClr="000000"/>
              </a:solidFill>
            </a:rPr>
            <a:t> - </a:t>
          </a:r>
          <a:r>
            <a:rPr lang="ru-RU" sz="1100" b="0" i="0" u="none" strike="noStrike">
              <a:solidFill>
                <a:sysClr val="windowText" lastClr="000000"/>
              </a:solidFill>
              <a:effectLst/>
              <a:latin typeface="+mn-lt"/>
              <a:ea typeface="+mn-ea"/>
              <a:cs typeface="+mn-cs"/>
            </a:rPr>
            <a:t>крайне маловероятное событие (с вероятностью от 0,01 до 0,05)</a:t>
          </a:r>
        </a:p>
        <a:p>
          <a:pPr algn="l"/>
          <a:r>
            <a:rPr lang="ru-RU" sz="1100" b="0" i="0" u="none" strike="noStrike">
              <a:solidFill>
                <a:sysClr val="windowText" lastClr="000000"/>
              </a:solidFill>
              <a:effectLst/>
              <a:latin typeface="+mn-lt"/>
              <a:ea typeface="+mn-ea"/>
              <a:cs typeface="+mn-cs"/>
            </a:rPr>
            <a:t>"</a:t>
          </a:r>
          <a:r>
            <a:rPr lang="ru-RU" sz="1100" b="1" i="0" u="none" strike="noStrike">
              <a:solidFill>
                <a:sysClr val="windowText" lastClr="000000"/>
              </a:solidFill>
              <a:effectLst/>
              <a:latin typeface="+mn-lt"/>
              <a:ea typeface="+mn-ea"/>
              <a:cs typeface="+mn-cs"/>
            </a:rPr>
            <a:t>0,4</a:t>
          </a:r>
          <a:r>
            <a:rPr lang="ru-RU" sz="1100" b="0" i="0" u="none" strike="noStrike">
              <a:solidFill>
                <a:sysClr val="windowText" lastClr="000000"/>
              </a:solidFill>
              <a:effectLst/>
              <a:latin typeface="+mn-lt"/>
              <a:ea typeface="+mn-ea"/>
              <a:cs typeface="+mn-cs"/>
            </a:rPr>
            <a:t>"</a:t>
          </a:r>
          <a:r>
            <a:rPr lang="ru-RU" b="0">
              <a:solidFill>
                <a:sysClr val="windowText" lastClr="000000"/>
              </a:solidFill>
            </a:rPr>
            <a:t> - </a:t>
          </a:r>
          <a:r>
            <a:rPr lang="ru-RU" sz="1100" b="0" i="0" u="none" strike="noStrike">
              <a:solidFill>
                <a:sysClr val="windowText" lastClr="000000"/>
              </a:solidFill>
              <a:effectLst/>
              <a:latin typeface="+mn-lt"/>
              <a:ea typeface="+mn-ea"/>
              <a:cs typeface="+mn-cs"/>
            </a:rPr>
            <a:t>маловероятное событие (вероятность от 0,05 до 0,10),</a:t>
          </a:r>
        </a:p>
        <a:p>
          <a:pPr algn="l"/>
          <a:r>
            <a:rPr lang="ru-RU" sz="1100" b="0" i="0" u="none" strike="noStrike">
              <a:solidFill>
                <a:sysClr val="windowText" lastClr="000000"/>
              </a:solidFill>
              <a:effectLst/>
              <a:latin typeface="+mn-lt"/>
              <a:ea typeface="+mn-ea"/>
              <a:cs typeface="+mn-cs"/>
            </a:rPr>
            <a:t>"</a:t>
          </a:r>
          <a:r>
            <a:rPr lang="ru-RU" sz="1100" b="1" i="0" u="none" strike="noStrike">
              <a:solidFill>
                <a:sysClr val="windowText" lastClr="000000"/>
              </a:solidFill>
              <a:effectLst/>
              <a:latin typeface="+mn-lt"/>
              <a:ea typeface="+mn-ea"/>
              <a:cs typeface="+mn-cs"/>
            </a:rPr>
            <a:t>0,6</a:t>
          </a:r>
          <a:r>
            <a:rPr lang="ru-RU" sz="1100" b="0" i="0" u="none" strike="noStrike">
              <a:solidFill>
                <a:sysClr val="windowText" lastClr="000000"/>
              </a:solidFill>
              <a:effectLst/>
              <a:latin typeface="+mn-lt"/>
              <a:ea typeface="+mn-ea"/>
              <a:cs typeface="+mn-cs"/>
            </a:rPr>
            <a:t>"</a:t>
          </a:r>
          <a:r>
            <a:rPr lang="ru-RU" b="0">
              <a:solidFill>
                <a:sysClr val="windowText" lastClr="000000"/>
              </a:solidFill>
            </a:rPr>
            <a:t> - </a:t>
          </a:r>
          <a:r>
            <a:rPr lang="ru-RU" sz="1100" b="0" i="0" u="none" strike="noStrike">
              <a:solidFill>
                <a:sysClr val="windowText" lastClr="000000"/>
              </a:solidFill>
              <a:effectLst/>
              <a:latin typeface="+mn-lt"/>
              <a:ea typeface="+mn-ea"/>
              <a:cs typeface="+mn-cs"/>
            </a:rPr>
            <a:t>событие с вероятностью, которой нельзя  пренебречь (вероятность от 0,10 до 0,20)</a:t>
          </a:r>
          <a:r>
            <a:rPr lang="ru-RU" b="0">
              <a:solidFill>
                <a:sysClr val="windowText" lastClr="000000"/>
              </a:solidFill>
            </a:rPr>
            <a:t> </a:t>
          </a:r>
        </a:p>
        <a:p>
          <a:pPr algn="l"/>
          <a:r>
            <a:rPr lang="ru-RU" sz="1100" b="0" i="0" u="none" strike="noStrike">
              <a:solidFill>
                <a:sysClr val="windowText" lastClr="000000"/>
              </a:solidFill>
              <a:effectLst/>
              <a:latin typeface="+mn-lt"/>
              <a:ea typeface="+mn-ea"/>
              <a:cs typeface="+mn-cs"/>
            </a:rPr>
            <a:t>"</a:t>
          </a:r>
          <a:r>
            <a:rPr lang="ru-RU" sz="1100" b="1" i="0" u="none" strike="noStrike">
              <a:solidFill>
                <a:sysClr val="windowText" lastClr="000000"/>
              </a:solidFill>
              <a:effectLst/>
              <a:latin typeface="+mn-lt"/>
              <a:ea typeface="+mn-ea"/>
              <a:cs typeface="+mn-cs"/>
            </a:rPr>
            <a:t>0,8</a:t>
          </a:r>
          <a:r>
            <a:rPr lang="ru-RU" sz="1100" b="0" i="0" u="none" strike="noStrike">
              <a:solidFill>
                <a:sysClr val="windowText" lastClr="000000"/>
              </a:solidFill>
              <a:effectLst/>
              <a:latin typeface="+mn-lt"/>
              <a:ea typeface="+mn-ea"/>
              <a:cs typeface="+mn-cs"/>
            </a:rPr>
            <a:t>"</a:t>
          </a:r>
          <a:r>
            <a:rPr lang="ru-RU" b="0">
              <a:solidFill>
                <a:sysClr val="windowText" lastClr="000000"/>
              </a:solidFill>
            </a:rPr>
            <a:t> - </a:t>
          </a:r>
          <a:r>
            <a:rPr lang="ru-RU" sz="1100" b="0" i="0" u="none" strike="noStrike">
              <a:solidFill>
                <a:sysClr val="windowText" lastClr="000000"/>
              </a:solidFill>
              <a:effectLst/>
              <a:latin typeface="+mn-lt"/>
              <a:ea typeface="+mn-ea"/>
              <a:cs typeface="+mn-cs"/>
            </a:rPr>
            <a:t>достаточно вероятное событие (вероятность от 0,20 до 0,30)</a:t>
          </a:r>
          <a:r>
            <a:rPr lang="ru-RU" b="0">
              <a:solidFill>
                <a:sysClr val="windowText" lastClr="000000"/>
              </a:solidFill>
            </a:rPr>
            <a:t> </a:t>
          </a:r>
        </a:p>
        <a:p>
          <a:pPr algn="l"/>
          <a:r>
            <a:rPr lang="ru-RU" sz="1100" b="0" i="0" u="none" strike="noStrike">
              <a:solidFill>
                <a:sysClr val="windowText" lastClr="000000"/>
              </a:solidFill>
              <a:effectLst/>
              <a:latin typeface="+mn-lt"/>
              <a:ea typeface="+mn-ea"/>
              <a:cs typeface="+mn-cs"/>
            </a:rPr>
            <a:t>"</a:t>
          </a:r>
          <a:r>
            <a:rPr lang="ru-RU" sz="1100" b="1" i="0" u="none" strike="noStrike">
              <a:solidFill>
                <a:sysClr val="windowText" lastClr="000000"/>
              </a:solidFill>
              <a:effectLst/>
              <a:latin typeface="+mn-lt"/>
              <a:ea typeface="+mn-ea"/>
              <a:cs typeface="+mn-cs"/>
            </a:rPr>
            <a:t>1,0</a:t>
          </a:r>
          <a:r>
            <a:rPr lang="ru-RU" sz="1100" b="0" i="0" u="none" strike="noStrike">
              <a:solidFill>
                <a:sysClr val="windowText" lastClr="000000"/>
              </a:solidFill>
              <a:effectLst/>
              <a:latin typeface="+mn-lt"/>
              <a:ea typeface="+mn-ea"/>
              <a:cs typeface="+mn-cs"/>
            </a:rPr>
            <a:t>"</a:t>
          </a:r>
          <a:r>
            <a:rPr lang="ru-RU" sz="1100" b="0" i="0" u="none" strike="noStrike" baseline="0">
              <a:solidFill>
                <a:sysClr val="windowText" lastClr="000000"/>
              </a:solidFill>
              <a:effectLst/>
              <a:latin typeface="+mn-lt"/>
              <a:ea typeface="+mn-ea"/>
              <a:cs typeface="+mn-cs"/>
            </a:rPr>
            <a:t> - </a:t>
          </a:r>
          <a:r>
            <a:rPr lang="ru-RU" sz="1100" b="0" i="0" u="none" strike="noStrike">
              <a:solidFill>
                <a:sysClr val="windowText" lastClr="000000"/>
              </a:solidFill>
              <a:effectLst/>
              <a:latin typeface="+mn-lt"/>
              <a:ea typeface="+mn-ea"/>
              <a:cs typeface="+mn-cs"/>
            </a:rPr>
            <a:t>событие с заметной вероятностью (вероятность более 0,30)</a:t>
          </a:r>
          <a:r>
            <a:rPr lang="ru-RU" b="0">
              <a:solidFill>
                <a:sysClr val="windowText" lastClr="000000"/>
              </a:solidFill>
            </a:rPr>
            <a:t> </a:t>
          </a:r>
        </a:p>
        <a:p>
          <a:pPr algn="l"/>
          <a:endParaRPr lang="ru-RU" sz="500" b="0">
            <a:solidFill>
              <a:sysClr val="windowText" lastClr="000000"/>
            </a:solidFill>
          </a:endParaRPr>
        </a:p>
        <a:p>
          <a:pPr algn="l"/>
          <a:r>
            <a:rPr lang="ru-RU" sz="1100" b="0">
              <a:solidFill>
                <a:sysClr val="windowText" lastClr="000000"/>
              </a:solidFill>
            </a:rPr>
            <a:t>Возможно выделение</a:t>
          </a:r>
          <a:r>
            <a:rPr lang="ru-RU" sz="1100" b="0" baseline="0">
              <a:solidFill>
                <a:sysClr val="windowText" lastClr="000000"/>
              </a:solidFill>
            </a:rPr>
            <a:t> иерархии рисков  только для ракетно-комической отрасли (!)</a:t>
          </a:r>
          <a:endParaRPr lang="ru-RU" sz="1100" b="0">
            <a:solidFill>
              <a:sysClr val="windowText" lastClr="000000"/>
            </a:solidFill>
          </a:endParaRPr>
        </a:p>
      </xdr:txBody>
    </xdr:sp>
    <xdr:clientData/>
  </xdr:twoCellAnchor>
  <xdr:twoCellAnchor>
    <xdr:from>
      <xdr:col>10</xdr:col>
      <xdr:colOff>152400</xdr:colOff>
      <xdr:row>22</xdr:row>
      <xdr:rowOff>0</xdr:rowOff>
    </xdr:from>
    <xdr:to>
      <xdr:col>19</xdr:col>
      <xdr:colOff>2</xdr:colOff>
      <xdr:row>29</xdr:row>
      <xdr:rowOff>114300</xdr:rowOff>
    </xdr:to>
    <xdr:sp macro="" textlink="">
      <xdr:nvSpPr>
        <xdr:cNvPr id="10" name="Прямоугольник 9">
          <a:extLst>
            <a:ext uri="{FF2B5EF4-FFF2-40B4-BE49-F238E27FC236}">
              <a16:creationId xmlns:a16="http://schemas.microsoft.com/office/drawing/2014/main" id="{00000000-0008-0000-0200-00000A000000}"/>
            </a:ext>
          </a:extLst>
        </xdr:cNvPr>
        <xdr:cNvSpPr/>
      </xdr:nvSpPr>
      <xdr:spPr>
        <a:xfrm>
          <a:off x="5924550" y="5086350"/>
          <a:ext cx="5553077" cy="1447800"/>
        </a:xfrm>
        <a:prstGeom prst="rect">
          <a:avLst/>
        </a:prstGeom>
        <a:solidFill>
          <a:schemeClr val="accent5">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ru-RU" sz="1100" b="1">
              <a:solidFill>
                <a:sysClr val="windowText" lastClr="000000"/>
              </a:solidFill>
            </a:rPr>
            <a:t>Шаг 3:</a:t>
          </a:r>
        </a:p>
        <a:p>
          <a:pPr algn="l"/>
          <a:r>
            <a:rPr lang="ru-RU" sz="1100" b="0">
              <a:solidFill>
                <a:sysClr val="windowText" lastClr="000000"/>
              </a:solidFill>
            </a:rPr>
            <a:t>Установить бюджетные ограничения,</a:t>
          </a:r>
          <a:r>
            <a:rPr lang="ru-RU" sz="1100" b="0" baseline="0">
              <a:solidFill>
                <a:sysClr val="windowText" lastClr="000000"/>
              </a:solidFill>
            </a:rPr>
            <a:t> в том числе</a:t>
          </a:r>
          <a:endParaRPr lang="ru-RU" sz="1100" b="0">
            <a:solidFill>
              <a:sysClr val="windowText" lastClr="000000"/>
            </a:solidFill>
          </a:endParaRPr>
        </a:p>
        <a:p>
          <a:pPr algn="l"/>
          <a:r>
            <a:rPr lang="ru-RU" sz="1100" b="1" i="0" u="none" strike="noStrike">
              <a:solidFill>
                <a:sysClr val="windowText" lastClr="000000"/>
              </a:solidFill>
              <a:effectLst/>
              <a:latin typeface="+mn-lt"/>
              <a:ea typeface="+mn-ea"/>
              <a:cs typeface="+mn-cs"/>
            </a:rPr>
            <a:t>П1</a:t>
          </a:r>
          <a:r>
            <a:rPr lang="ru-RU" sz="1100" b="0" i="0" u="none" strike="noStrike">
              <a:solidFill>
                <a:sysClr val="windowText" lastClr="000000"/>
              </a:solidFill>
              <a:effectLst/>
              <a:latin typeface="+mn-lt"/>
              <a:ea typeface="+mn-ea"/>
              <a:cs typeface="+mn-cs"/>
            </a:rPr>
            <a:t> - программы, ориентированные на международную кооперацию, связанную с цивилизационными  задачами;</a:t>
          </a:r>
        </a:p>
        <a:p>
          <a:pPr algn="l"/>
          <a:r>
            <a:rPr lang="ru-RU" sz="1100" b="1" i="0" u="none" strike="noStrike">
              <a:solidFill>
                <a:sysClr val="windowText" lastClr="000000"/>
              </a:solidFill>
              <a:effectLst/>
              <a:latin typeface="+mn-lt"/>
              <a:ea typeface="+mn-ea"/>
              <a:cs typeface="+mn-cs"/>
            </a:rPr>
            <a:t>П2</a:t>
          </a:r>
          <a:r>
            <a:rPr lang="ru-RU" sz="1100" b="0" i="0" u="none" strike="noStrike">
              <a:solidFill>
                <a:sysClr val="windowText" lastClr="000000"/>
              </a:solidFill>
              <a:effectLst/>
              <a:latin typeface="+mn-lt"/>
              <a:ea typeface="+mn-ea"/>
              <a:cs typeface="+mn-cs"/>
            </a:rPr>
            <a:t> - группы коммерческих космических программ, реализуемые в средне – и долгосрочной перспективе</a:t>
          </a:r>
          <a:r>
            <a:rPr lang="ru-RU">
              <a:solidFill>
                <a:sysClr val="windowText" lastClr="000000"/>
              </a:solidFill>
              <a:effectLst/>
            </a:rPr>
            <a:t> ;</a:t>
          </a:r>
        </a:p>
        <a:p>
          <a:pPr algn="l"/>
          <a:r>
            <a:rPr lang="ru-RU" sz="1100" b="1" i="0" u="none" strike="noStrike">
              <a:solidFill>
                <a:sysClr val="windowText" lastClr="000000"/>
              </a:solidFill>
              <a:effectLst/>
              <a:latin typeface="+mn-lt"/>
              <a:ea typeface="+mn-ea"/>
              <a:cs typeface="+mn-cs"/>
            </a:rPr>
            <a:t>П3</a:t>
          </a:r>
          <a:r>
            <a:rPr lang="ru-RU" sz="1100" b="0" i="0" u="none" strike="noStrike">
              <a:solidFill>
                <a:sysClr val="windowText" lastClr="000000"/>
              </a:solidFill>
              <a:effectLst/>
              <a:latin typeface="+mn-lt"/>
              <a:ea typeface="+mn-ea"/>
              <a:cs typeface="+mn-cs"/>
            </a:rPr>
            <a:t> - проекты диверсификации, не имеющие космической направленности.</a:t>
          </a:r>
          <a:r>
            <a:rPr lang="ru-RU">
              <a:solidFill>
                <a:sysClr val="windowText" lastClr="000000"/>
              </a:solidFill>
              <a:effectLst/>
            </a:rPr>
            <a:t> </a:t>
          </a:r>
          <a:r>
            <a:rPr lang="ru-RU" sz="1100" b="1">
              <a:solidFill>
                <a:sysClr val="windowText" lastClr="000000"/>
              </a:solidFill>
            </a:rPr>
            <a:t> </a:t>
          </a:r>
        </a:p>
      </xdr:txBody>
    </xdr:sp>
    <xdr:clientData/>
  </xdr:twoCellAnchor>
  <xdr:twoCellAnchor>
    <xdr:from>
      <xdr:col>10</xdr:col>
      <xdr:colOff>152400</xdr:colOff>
      <xdr:row>29</xdr:row>
      <xdr:rowOff>285750</xdr:rowOff>
    </xdr:from>
    <xdr:to>
      <xdr:col>19</xdr:col>
      <xdr:colOff>28575</xdr:colOff>
      <xdr:row>35</xdr:row>
      <xdr:rowOff>66674</xdr:rowOff>
    </xdr:to>
    <xdr:sp macro="" textlink="">
      <xdr:nvSpPr>
        <xdr:cNvPr id="11" name="Прямоугольник 10">
          <a:extLst>
            <a:ext uri="{FF2B5EF4-FFF2-40B4-BE49-F238E27FC236}">
              <a16:creationId xmlns:a16="http://schemas.microsoft.com/office/drawing/2014/main" id="{00000000-0008-0000-0200-00000B000000}"/>
            </a:ext>
          </a:extLst>
        </xdr:cNvPr>
        <xdr:cNvSpPr/>
      </xdr:nvSpPr>
      <xdr:spPr>
        <a:xfrm>
          <a:off x="5924550" y="6705600"/>
          <a:ext cx="5581650" cy="1276349"/>
        </a:xfrm>
        <a:prstGeom prst="rect">
          <a:avLst/>
        </a:prstGeom>
        <a:solidFill>
          <a:schemeClr val="accent5">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ru-RU" sz="1100" b="1">
              <a:solidFill>
                <a:sysClr val="windowText" lastClr="000000"/>
              </a:solidFill>
            </a:rPr>
            <a:t>Шаг 4:</a:t>
          </a:r>
        </a:p>
        <a:p>
          <a:pPr algn="l"/>
          <a:r>
            <a:rPr lang="ru-RU" sz="1100" b="0">
              <a:solidFill>
                <a:sysClr val="windowText" lastClr="000000"/>
              </a:solidFill>
            </a:rPr>
            <a:t>Оцените значимость продуктов по критериям, чтобы сумма </a:t>
          </a:r>
          <a:r>
            <a:rPr lang="ru-RU" sz="1100" b="1">
              <a:solidFill>
                <a:sysClr val="windowText" lastClr="000000"/>
              </a:solidFill>
            </a:rPr>
            <a:t>по </a:t>
          </a:r>
          <a:r>
            <a:rPr lang="en-US" sz="1100" b="1">
              <a:solidFill>
                <a:sysClr val="windowText" lastClr="000000"/>
              </a:solidFill>
            </a:rPr>
            <a:t>j</a:t>
          </a:r>
          <a:r>
            <a:rPr lang="ru-RU" sz="1100" b="1">
              <a:solidFill>
                <a:sysClr val="windowText" lastClr="000000"/>
              </a:solidFill>
            </a:rPr>
            <a:t>-столбцу </a:t>
          </a:r>
          <a:r>
            <a:rPr lang="ru-RU" sz="1100" b="0">
              <a:solidFill>
                <a:sysClr val="windowText" lastClr="000000"/>
              </a:solidFill>
            </a:rPr>
            <a:t>составила</a:t>
          </a:r>
          <a:r>
            <a:rPr lang="ru-RU" sz="1100" b="0" baseline="0">
              <a:solidFill>
                <a:sysClr val="windowText" lastClr="000000"/>
              </a:solidFill>
            </a:rPr>
            <a:t> 100%:</a:t>
          </a:r>
        </a:p>
        <a:p>
          <a:pPr algn="l"/>
          <a:r>
            <a:rPr lang="ru-RU" sz="1100" b="1" baseline="0">
              <a:solidFill>
                <a:sysClr val="windowText" lastClr="000000"/>
              </a:solidFill>
            </a:rPr>
            <a:t>Критерий 1 </a:t>
          </a:r>
          <a:r>
            <a:rPr lang="ru-RU" sz="1100" b="0" baseline="0">
              <a:solidFill>
                <a:sysClr val="windowText" lastClr="000000"/>
              </a:solidFill>
            </a:rPr>
            <a:t>- эффект масштабности;</a:t>
          </a:r>
        </a:p>
        <a:p>
          <a:pPr algn="l"/>
          <a:r>
            <a:rPr lang="ru-RU" sz="1100" b="1" baseline="0">
              <a:solidFill>
                <a:sysClr val="windowText" lastClr="000000"/>
              </a:solidFill>
            </a:rPr>
            <a:t>Критерий 2 </a:t>
          </a:r>
          <a:r>
            <a:rPr lang="ru-RU" sz="1100" b="0" baseline="0">
              <a:solidFill>
                <a:sysClr val="windowText" lastClr="000000"/>
              </a:solidFill>
            </a:rPr>
            <a:t>- эффект коммерциализации;</a:t>
          </a:r>
        </a:p>
        <a:p>
          <a:pPr algn="l"/>
          <a:r>
            <a:rPr lang="ru-RU" sz="1100" b="1" baseline="0">
              <a:solidFill>
                <a:sysClr val="windowText" lastClr="000000"/>
              </a:solidFill>
            </a:rPr>
            <a:t>Критерий 3 </a:t>
          </a:r>
          <a:r>
            <a:rPr lang="ru-RU" sz="1100" b="0" baseline="0">
              <a:solidFill>
                <a:sysClr val="windowText" lastClr="000000"/>
              </a:solidFill>
            </a:rPr>
            <a:t>- эффект диверсификации.</a:t>
          </a:r>
          <a:endParaRPr lang="ru-RU" sz="1100" b="1">
            <a:solidFill>
              <a:sysClr val="windowText" lastClr="000000"/>
            </a:solidFill>
          </a:endParaRPr>
        </a:p>
      </xdr:txBody>
    </xdr:sp>
    <xdr:clientData/>
  </xdr:twoCellAnchor>
  <xdr:twoCellAnchor>
    <xdr:from>
      <xdr:col>10</xdr:col>
      <xdr:colOff>142874</xdr:colOff>
      <xdr:row>36</xdr:row>
      <xdr:rowOff>57150</xdr:rowOff>
    </xdr:from>
    <xdr:to>
      <xdr:col>19</xdr:col>
      <xdr:colOff>47624</xdr:colOff>
      <xdr:row>41</xdr:row>
      <xdr:rowOff>38100</xdr:rowOff>
    </xdr:to>
    <xdr:sp macro="" textlink="">
      <xdr:nvSpPr>
        <xdr:cNvPr id="12" name="Прямоугольник 11">
          <a:extLst>
            <a:ext uri="{FF2B5EF4-FFF2-40B4-BE49-F238E27FC236}">
              <a16:creationId xmlns:a16="http://schemas.microsoft.com/office/drawing/2014/main" id="{00000000-0008-0000-0200-00000C000000}"/>
            </a:ext>
          </a:extLst>
        </xdr:cNvPr>
        <xdr:cNvSpPr/>
      </xdr:nvSpPr>
      <xdr:spPr>
        <a:xfrm>
          <a:off x="5915024" y="8162925"/>
          <a:ext cx="5610225" cy="933450"/>
        </a:xfrm>
        <a:prstGeom prst="rect">
          <a:avLst/>
        </a:prstGeom>
        <a:solidFill>
          <a:schemeClr val="accent5">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ru-RU" sz="1100" b="1">
              <a:solidFill>
                <a:sysClr val="windowText" lastClr="000000"/>
              </a:solidFill>
            </a:rPr>
            <a:t>Шаг 5:</a:t>
          </a:r>
        </a:p>
        <a:p>
          <a:pPr algn="l"/>
          <a:r>
            <a:rPr lang="ru-RU" sz="1100" b="0">
              <a:solidFill>
                <a:sysClr val="windowText" lastClr="000000"/>
              </a:solidFill>
            </a:rPr>
            <a:t>Переход  на </a:t>
          </a:r>
          <a:r>
            <a:rPr lang="ru-RU" sz="1100" b="1">
              <a:solidFill>
                <a:sysClr val="windowText" lastClr="000000"/>
              </a:solidFill>
            </a:rPr>
            <a:t>Лист</a:t>
          </a:r>
          <a:r>
            <a:rPr lang="ru-RU" sz="1100" b="1" baseline="0">
              <a:solidFill>
                <a:sysClr val="windowText" lastClr="000000"/>
              </a:solidFill>
            </a:rPr>
            <a:t> "Сценирование полезности" </a:t>
          </a:r>
          <a:r>
            <a:rPr lang="ru-RU" sz="1100" b="0" baseline="0">
              <a:solidFill>
                <a:sysClr val="windowText" lastClr="000000"/>
              </a:solidFill>
            </a:rPr>
            <a:t>для поиска решения и получения расчетных значений сбалансированного распределения финансирования по программам (проектам) и ресурсам.</a:t>
          </a:r>
          <a:endParaRPr lang="ru-RU" sz="1100" b="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247650</xdr:colOff>
      <xdr:row>0</xdr:row>
      <xdr:rowOff>19052</xdr:rowOff>
    </xdr:from>
    <xdr:to>
      <xdr:col>17</xdr:col>
      <xdr:colOff>590549</xdr:colOff>
      <xdr:row>11</xdr:row>
      <xdr:rowOff>104776</xdr:rowOff>
    </xdr:to>
    <xdr:sp macro="" textlink="">
      <xdr:nvSpPr>
        <xdr:cNvPr id="2" name="Прямоугольник 1">
          <a:extLst>
            <a:ext uri="{FF2B5EF4-FFF2-40B4-BE49-F238E27FC236}">
              <a16:creationId xmlns:a16="http://schemas.microsoft.com/office/drawing/2014/main" id="{00000000-0008-0000-0300-000002000000}"/>
            </a:ext>
          </a:extLst>
        </xdr:cNvPr>
        <xdr:cNvSpPr/>
      </xdr:nvSpPr>
      <xdr:spPr>
        <a:xfrm>
          <a:off x="7524750" y="19052"/>
          <a:ext cx="5981699" cy="2543174"/>
        </a:xfrm>
        <a:prstGeom prst="rect">
          <a:avLst/>
        </a:prstGeom>
        <a:solidFill>
          <a:schemeClr val="accent5">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spcAft>
              <a:spcPts val="600"/>
            </a:spcAft>
          </a:pPr>
          <a:r>
            <a:rPr lang="ru-RU" sz="1050" b="1">
              <a:solidFill>
                <a:sysClr val="windowText" lastClr="000000"/>
              </a:solidFill>
            </a:rPr>
            <a:t>Инструкция</a:t>
          </a:r>
          <a:r>
            <a:rPr lang="ru-RU" sz="1050" b="1" baseline="0">
              <a:solidFill>
                <a:sysClr val="windowText" lastClr="000000"/>
              </a:solidFill>
            </a:rPr>
            <a:t> по запуску сценирования :</a:t>
          </a:r>
        </a:p>
        <a:p>
          <a:pPr>
            <a:spcAft>
              <a:spcPts val="600"/>
            </a:spcAft>
          </a:pPr>
          <a:r>
            <a:rPr lang="ru-RU" sz="1050">
              <a:solidFill>
                <a:sysClr val="windowText" lastClr="000000"/>
              </a:solidFill>
              <a:effectLst/>
              <a:latin typeface="+mn-lt"/>
              <a:ea typeface="+mn-ea"/>
              <a:cs typeface="+mn-cs"/>
            </a:rPr>
            <a:t>1. В ячейках на </a:t>
          </a:r>
          <a:r>
            <a:rPr lang="ru-RU" sz="1050" b="1">
              <a:solidFill>
                <a:sysClr val="windowText" lastClr="000000"/>
              </a:solidFill>
              <a:effectLst/>
              <a:latin typeface="+mn-lt"/>
              <a:ea typeface="+mn-ea"/>
              <a:cs typeface="+mn-cs"/>
            </a:rPr>
            <a:t>Листе "Исходные условия" </a:t>
          </a:r>
          <a:r>
            <a:rPr lang="ru-RU" sz="1050">
              <a:solidFill>
                <a:sysClr val="windowText" lastClr="000000"/>
              </a:solidFill>
              <a:effectLst/>
              <a:latin typeface="+mn-lt"/>
              <a:ea typeface="+mn-ea"/>
              <a:cs typeface="+mn-cs"/>
            </a:rPr>
            <a:t>задать сценарные параметры (выделены красным цветом)</a:t>
          </a:r>
        </a:p>
        <a:p>
          <a:pPr>
            <a:spcAft>
              <a:spcPts val="600"/>
            </a:spcAft>
          </a:pPr>
          <a:r>
            <a:rPr lang="ru-RU" sz="1050">
              <a:solidFill>
                <a:sysClr val="windowText" lastClr="000000"/>
              </a:solidFill>
              <a:effectLst/>
              <a:latin typeface="+mn-lt"/>
              <a:ea typeface="+mn-ea"/>
              <a:cs typeface="+mn-cs"/>
            </a:rPr>
            <a:t>2. В ячейках  </a:t>
          </a:r>
          <a:r>
            <a:rPr lang="en-US" sz="1050" b="1">
              <a:solidFill>
                <a:sysClr val="windowText" lastClr="000000"/>
              </a:solidFill>
              <a:effectLst/>
              <a:latin typeface="+mn-lt"/>
              <a:ea typeface="+mn-ea"/>
              <a:cs typeface="+mn-cs"/>
            </a:rPr>
            <a:t>B</a:t>
          </a:r>
          <a:r>
            <a:rPr lang="ru-RU" sz="1050" b="1">
              <a:solidFill>
                <a:sysClr val="windowText" lastClr="000000"/>
              </a:solidFill>
              <a:effectLst/>
              <a:latin typeface="+mn-lt"/>
              <a:ea typeface="+mn-ea"/>
              <a:cs typeface="+mn-cs"/>
            </a:rPr>
            <a:t>5:</a:t>
          </a:r>
          <a:r>
            <a:rPr lang="en-US" sz="1050" b="1">
              <a:solidFill>
                <a:sysClr val="windowText" lastClr="000000"/>
              </a:solidFill>
              <a:effectLst/>
              <a:latin typeface="+mn-lt"/>
              <a:ea typeface="+mn-ea"/>
              <a:cs typeface="+mn-cs"/>
            </a:rPr>
            <a:t>H</a:t>
          </a:r>
          <a:r>
            <a:rPr lang="ru-RU" sz="1050" b="1">
              <a:solidFill>
                <a:sysClr val="windowText" lastClr="000000"/>
              </a:solidFill>
              <a:effectLst/>
              <a:latin typeface="+mn-lt"/>
              <a:ea typeface="+mn-ea"/>
              <a:cs typeface="+mn-cs"/>
            </a:rPr>
            <a:t>9  </a:t>
          </a:r>
          <a:r>
            <a:rPr lang="ru-RU" sz="1050">
              <a:solidFill>
                <a:sysClr val="windowText" lastClr="000000"/>
              </a:solidFill>
              <a:effectLst/>
              <a:latin typeface="+mn-lt"/>
              <a:ea typeface="+mn-ea"/>
              <a:cs typeface="+mn-cs"/>
            </a:rPr>
            <a:t>и  </a:t>
          </a:r>
          <a:r>
            <a:rPr lang="en-US" sz="1050" b="1">
              <a:solidFill>
                <a:sysClr val="windowText" lastClr="000000"/>
              </a:solidFill>
              <a:effectLst/>
              <a:latin typeface="+mn-lt"/>
              <a:ea typeface="+mn-ea"/>
              <a:cs typeface="+mn-cs"/>
            </a:rPr>
            <a:t>B</a:t>
          </a:r>
          <a:r>
            <a:rPr lang="ru-RU" sz="1050" b="1">
              <a:solidFill>
                <a:sysClr val="windowText" lastClr="000000"/>
              </a:solidFill>
              <a:effectLst/>
              <a:latin typeface="+mn-lt"/>
              <a:ea typeface="+mn-ea"/>
              <a:cs typeface="+mn-cs"/>
            </a:rPr>
            <a:t>15:</a:t>
          </a:r>
          <a:r>
            <a:rPr lang="en-US" sz="1050" b="1">
              <a:solidFill>
                <a:sysClr val="windowText" lastClr="000000"/>
              </a:solidFill>
              <a:effectLst/>
              <a:latin typeface="+mn-lt"/>
              <a:ea typeface="+mn-ea"/>
              <a:cs typeface="+mn-cs"/>
            </a:rPr>
            <a:t>H</a:t>
          </a:r>
          <a:r>
            <a:rPr lang="ru-RU" sz="1050" b="1">
              <a:solidFill>
                <a:sysClr val="windowText" lastClr="000000"/>
              </a:solidFill>
              <a:effectLst/>
              <a:latin typeface="+mn-lt"/>
              <a:ea typeface="+mn-ea"/>
              <a:cs typeface="+mn-cs"/>
            </a:rPr>
            <a:t>17 </a:t>
          </a:r>
          <a:r>
            <a:rPr lang="ru-RU" sz="1050">
              <a:solidFill>
                <a:sysClr val="windowText" lastClr="000000"/>
              </a:solidFill>
              <a:effectLst/>
              <a:latin typeface="+mn-lt"/>
              <a:ea typeface="+mn-ea"/>
              <a:cs typeface="+mn-cs"/>
            </a:rPr>
            <a:t>на текущем</a:t>
          </a:r>
          <a:r>
            <a:rPr lang="ru-RU" sz="1050" baseline="0">
              <a:solidFill>
                <a:sysClr val="windowText" lastClr="000000"/>
              </a:solidFill>
              <a:effectLst/>
              <a:latin typeface="+mn-lt"/>
              <a:ea typeface="+mn-ea"/>
              <a:cs typeface="+mn-cs"/>
            </a:rPr>
            <a:t> </a:t>
          </a:r>
          <a:r>
            <a:rPr lang="ru-RU" sz="1050">
              <a:solidFill>
                <a:sysClr val="windowText" lastClr="000000"/>
              </a:solidFill>
              <a:effectLst/>
              <a:latin typeface="+mn-lt"/>
              <a:ea typeface="+mn-ea"/>
              <a:cs typeface="+mn-cs"/>
            </a:rPr>
            <a:t> листе "Сценирование полезности" поставить значения</a:t>
          </a:r>
          <a:r>
            <a:rPr lang="ru-RU" sz="1050" b="1">
              <a:solidFill>
                <a:sysClr val="windowText" lastClr="000000"/>
              </a:solidFill>
              <a:effectLst/>
              <a:latin typeface="+mn-lt"/>
              <a:ea typeface="+mn-ea"/>
              <a:cs typeface="+mn-cs"/>
            </a:rPr>
            <a:t> "1" </a:t>
          </a:r>
          <a:r>
            <a:rPr lang="ru-RU" sz="1050">
              <a:solidFill>
                <a:sysClr val="windowText" lastClr="000000"/>
              </a:solidFill>
              <a:effectLst/>
              <a:latin typeface="+mn-lt"/>
              <a:ea typeface="+mn-ea"/>
              <a:cs typeface="+mn-cs"/>
            </a:rPr>
            <a:t>(выделены красным цветом)</a:t>
          </a:r>
        </a:p>
        <a:p>
          <a:pPr>
            <a:spcAft>
              <a:spcPts val="600"/>
            </a:spcAft>
          </a:pPr>
          <a:r>
            <a:rPr lang="ru-RU" sz="1050">
              <a:solidFill>
                <a:sysClr val="windowText" lastClr="000000"/>
              </a:solidFill>
              <a:effectLst/>
              <a:latin typeface="+mn-lt"/>
              <a:ea typeface="+mn-ea"/>
              <a:cs typeface="+mn-cs"/>
            </a:rPr>
            <a:t>3. При необходимости установления  целевого характера (связей)</a:t>
          </a:r>
          <a:r>
            <a:rPr lang="ru-RU" sz="1050" baseline="0">
              <a:solidFill>
                <a:sysClr val="windowText" lastClr="000000"/>
              </a:solidFill>
              <a:effectLst/>
              <a:latin typeface="+mn-lt"/>
              <a:ea typeface="+mn-ea"/>
              <a:cs typeface="+mn-cs"/>
            </a:rPr>
            <a:t> программ (проектов) в отношении финансирования ресурсов (технологии, детали, узлы, ПО и т.д.) внести изменения в показатели значимости в ячейках </a:t>
          </a:r>
          <a:r>
            <a:rPr lang="en-US" sz="1050" b="1" baseline="0">
              <a:solidFill>
                <a:sysClr val="windowText" lastClr="000000"/>
              </a:solidFill>
              <a:effectLst/>
              <a:latin typeface="+mn-lt"/>
              <a:ea typeface="+mn-ea"/>
              <a:cs typeface="+mn-cs"/>
            </a:rPr>
            <a:t>L25:N27</a:t>
          </a:r>
          <a:r>
            <a:rPr lang="ru-RU" sz="1050" b="1" baseline="0">
              <a:solidFill>
                <a:sysClr val="windowText" lastClr="000000"/>
              </a:solidFill>
              <a:effectLst/>
              <a:latin typeface="+mn-lt"/>
              <a:ea typeface="+mn-ea"/>
              <a:cs typeface="+mn-cs"/>
            </a:rPr>
            <a:t> на текущем листе </a:t>
          </a:r>
          <a:r>
            <a:rPr lang="ru-RU" sz="1050">
              <a:solidFill>
                <a:sysClr val="windowText" lastClr="000000"/>
              </a:solidFill>
              <a:effectLst/>
              <a:latin typeface="+mn-lt"/>
              <a:ea typeface="+mn-ea"/>
              <a:cs typeface="+mn-cs"/>
            </a:rPr>
            <a:t>"Сценирование полезности"  (выделено красным цветом). Сумма по строке</a:t>
          </a:r>
          <a:r>
            <a:rPr lang="ru-RU" sz="1050" baseline="0">
              <a:solidFill>
                <a:sysClr val="windowText" lastClr="000000"/>
              </a:solidFill>
              <a:effectLst/>
              <a:latin typeface="+mn-lt"/>
              <a:ea typeface="+mn-ea"/>
              <a:cs typeface="+mn-cs"/>
            </a:rPr>
            <a:t> (П1, П2, П3) должна равняться </a:t>
          </a:r>
          <a:r>
            <a:rPr lang="ru-RU" sz="1050" b="1" baseline="0">
              <a:solidFill>
                <a:sysClr val="windowText" lastClr="000000"/>
              </a:solidFill>
              <a:effectLst/>
              <a:latin typeface="+mn-lt"/>
              <a:ea typeface="+mn-ea"/>
              <a:cs typeface="+mn-cs"/>
            </a:rPr>
            <a:t>"1"</a:t>
          </a:r>
          <a:r>
            <a:rPr lang="ru-RU" sz="1050" baseline="0">
              <a:solidFill>
                <a:sysClr val="windowText" lastClr="000000"/>
              </a:solidFill>
              <a:effectLst/>
              <a:latin typeface="+mn-lt"/>
              <a:ea typeface="+mn-ea"/>
              <a:cs typeface="+mn-cs"/>
            </a:rPr>
            <a:t>.</a:t>
          </a:r>
          <a:endParaRPr lang="ru-RU" sz="1050" b="1">
            <a:solidFill>
              <a:sysClr val="windowText" lastClr="000000"/>
            </a:solidFill>
            <a:effectLst/>
            <a:latin typeface="+mn-lt"/>
            <a:ea typeface="+mn-ea"/>
            <a:cs typeface="+mn-cs"/>
          </a:endParaRPr>
        </a:p>
        <a:p>
          <a:pPr>
            <a:spcAft>
              <a:spcPts val="600"/>
            </a:spcAft>
          </a:pPr>
          <a:r>
            <a:rPr lang="ru-RU" sz="1050">
              <a:solidFill>
                <a:sysClr val="windowText" lastClr="000000"/>
              </a:solidFill>
              <a:effectLst/>
              <a:latin typeface="+mn-lt"/>
              <a:ea typeface="+mn-ea"/>
              <a:cs typeface="+mn-cs"/>
            </a:rPr>
            <a:t>4. Запустить </a:t>
          </a:r>
          <a:r>
            <a:rPr lang="ru-RU" sz="1050" b="1">
              <a:solidFill>
                <a:sysClr val="windowText" lastClr="000000"/>
              </a:solidFill>
              <a:effectLst/>
              <a:latin typeface="+mn-lt"/>
              <a:ea typeface="+mn-ea"/>
              <a:cs typeface="+mn-cs"/>
            </a:rPr>
            <a:t>"Поиск решения"</a:t>
          </a:r>
          <a:r>
            <a:rPr lang="ru-RU" sz="1050">
              <a:solidFill>
                <a:sysClr val="windowText" lastClr="000000"/>
              </a:solidFill>
              <a:effectLst/>
              <a:latin typeface="+mn-lt"/>
              <a:ea typeface="+mn-ea"/>
              <a:cs typeface="+mn-cs"/>
            </a:rPr>
            <a:t>:  Данные/Поиск решения.  Выбрать  "Поиск решения нелинейных задач методом ОПГ".</a:t>
          </a:r>
        </a:p>
        <a:p>
          <a:pPr>
            <a:spcAft>
              <a:spcPts val="600"/>
            </a:spcAft>
          </a:pPr>
          <a:r>
            <a:rPr lang="ru-RU" sz="1050">
              <a:solidFill>
                <a:sysClr val="windowText" lastClr="000000"/>
              </a:solidFill>
              <a:effectLst/>
              <a:latin typeface="+mn-lt"/>
              <a:ea typeface="+mn-ea"/>
              <a:cs typeface="+mn-cs"/>
            </a:rPr>
            <a:t>5. На </a:t>
          </a:r>
          <a:r>
            <a:rPr lang="ru-RU" sz="1050" b="1">
              <a:solidFill>
                <a:sysClr val="windowText" lastClr="000000"/>
              </a:solidFill>
              <a:effectLst/>
              <a:latin typeface="+mn-lt"/>
              <a:ea typeface="+mn-ea"/>
              <a:cs typeface="+mn-cs"/>
            </a:rPr>
            <a:t>листе "Выходные данные" </a:t>
          </a:r>
          <a:r>
            <a:rPr lang="ru-RU" sz="1050">
              <a:solidFill>
                <a:sysClr val="windowText" lastClr="000000"/>
              </a:solidFill>
              <a:effectLst/>
              <a:latin typeface="+mn-lt"/>
              <a:ea typeface="+mn-ea"/>
              <a:cs typeface="+mn-cs"/>
            </a:rPr>
            <a:t>будут размещены результаты сбалансированного распределения финансирования по проектам (программам) и ресурсам</a:t>
          </a:r>
        </a:p>
        <a:p>
          <a:pPr algn="l">
            <a:spcAft>
              <a:spcPts val="600"/>
            </a:spcAft>
          </a:pPr>
          <a:endParaRPr lang="ru-RU" sz="1000" b="1" baseline="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542925</xdr:colOff>
      <xdr:row>3</xdr:row>
      <xdr:rowOff>9524</xdr:rowOff>
    </xdr:from>
    <xdr:to>
      <xdr:col>18</xdr:col>
      <xdr:colOff>76200</xdr:colOff>
      <xdr:row>7</xdr:row>
      <xdr:rowOff>66675</xdr:rowOff>
    </xdr:to>
    <xdr:sp macro="" textlink="">
      <xdr:nvSpPr>
        <xdr:cNvPr id="3" name="Прямоугольник 2">
          <a:extLst>
            <a:ext uri="{FF2B5EF4-FFF2-40B4-BE49-F238E27FC236}">
              <a16:creationId xmlns:a16="http://schemas.microsoft.com/office/drawing/2014/main" id="{00000000-0008-0000-0400-000003000000}"/>
            </a:ext>
          </a:extLst>
        </xdr:cNvPr>
        <xdr:cNvSpPr/>
      </xdr:nvSpPr>
      <xdr:spPr>
        <a:xfrm>
          <a:off x="4591050" y="704849"/>
          <a:ext cx="7048500" cy="819151"/>
        </a:xfrm>
        <a:prstGeom prst="rect">
          <a:avLst/>
        </a:prstGeom>
        <a:solidFill>
          <a:schemeClr val="accent5">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ru-RU" sz="1050" b="1">
              <a:solidFill>
                <a:sysClr val="windowText" lastClr="000000"/>
              </a:solidFill>
            </a:rPr>
            <a:t>Примечание:</a:t>
          </a:r>
        </a:p>
        <a:p>
          <a:pPr algn="l"/>
          <a:r>
            <a:rPr lang="ru-RU" sz="1050" b="1" i="0" u="none" strike="noStrike">
              <a:solidFill>
                <a:sysClr val="windowText" lastClr="000000"/>
              </a:solidFill>
              <a:effectLst/>
              <a:latin typeface="+mn-lt"/>
              <a:ea typeface="+mn-ea"/>
              <a:cs typeface="+mn-cs"/>
            </a:rPr>
            <a:t>П1</a:t>
          </a:r>
          <a:r>
            <a:rPr lang="ru-RU" sz="1050" b="0" i="0" u="none" strike="noStrike">
              <a:solidFill>
                <a:sysClr val="windowText" lastClr="000000"/>
              </a:solidFill>
              <a:effectLst/>
              <a:latin typeface="+mn-lt"/>
              <a:ea typeface="+mn-ea"/>
              <a:cs typeface="+mn-cs"/>
            </a:rPr>
            <a:t> - программы, ориентированные на международную кооперацию, связанную с цивилизационными  задачами;</a:t>
          </a:r>
        </a:p>
        <a:p>
          <a:pPr algn="l"/>
          <a:r>
            <a:rPr lang="ru-RU" sz="1050" b="1" i="0" u="none" strike="noStrike">
              <a:solidFill>
                <a:sysClr val="windowText" lastClr="000000"/>
              </a:solidFill>
              <a:effectLst/>
              <a:latin typeface="+mn-lt"/>
              <a:ea typeface="+mn-ea"/>
              <a:cs typeface="+mn-cs"/>
            </a:rPr>
            <a:t>П2</a:t>
          </a:r>
          <a:r>
            <a:rPr lang="ru-RU" sz="1050" b="0" i="0" u="none" strike="noStrike">
              <a:solidFill>
                <a:sysClr val="windowText" lastClr="000000"/>
              </a:solidFill>
              <a:effectLst/>
              <a:latin typeface="+mn-lt"/>
              <a:ea typeface="+mn-ea"/>
              <a:cs typeface="+mn-cs"/>
            </a:rPr>
            <a:t> - группы коммерческих космических программ, реализуемые в средне – и долгосрочной перспективе</a:t>
          </a:r>
          <a:r>
            <a:rPr lang="ru-RU" sz="1050">
              <a:solidFill>
                <a:sysClr val="windowText" lastClr="000000"/>
              </a:solidFill>
              <a:effectLst/>
            </a:rPr>
            <a:t> ;</a:t>
          </a:r>
        </a:p>
        <a:p>
          <a:pPr algn="l"/>
          <a:r>
            <a:rPr lang="ru-RU" sz="1050" b="1" i="0" u="none" strike="noStrike">
              <a:solidFill>
                <a:sysClr val="windowText" lastClr="000000"/>
              </a:solidFill>
              <a:effectLst/>
              <a:latin typeface="+mn-lt"/>
              <a:ea typeface="+mn-ea"/>
              <a:cs typeface="+mn-cs"/>
            </a:rPr>
            <a:t>П3</a:t>
          </a:r>
          <a:r>
            <a:rPr lang="ru-RU" sz="1050" b="0" i="0" u="none" strike="noStrike">
              <a:solidFill>
                <a:sysClr val="windowText" lastClr="000000"/>
              </a:solidFill>
              <a:effectLst/>
              <a:latin typeface="+mn-lt"/>
              <a:ea typeface="+mn-ea"/>
              <a:cs typeface="+mn-cs"/>
            </a:rPr>
            <a:t> - проекты диверсификации, не имеющие космической направленности.</a:t>
          </a:r>
          <a:r>
            <a:rPr lang="ru-RU" sz="1050">
              <a:solidFill>
                <a:sysClr val="windowText" lastClr="000000"/>
              </a:solidFill>
              <a:effectLst/>
            </a:rPr>
            <a:t> </a:t>
          </a:r>
          <a:r>
            <a:rPr lang="ru-RU" sz="1050" b="1">
              <a:solidFill>
                <a:sysClr val="windowText" lastClr="000000"/>
              </a:solidFill>
            </a:rPr>
            <a:t> </a:t>
          </a:r>
        </a:p>
      </xdr:txBody>
    </xdr:sp>
    <xdr:clientData/>
  </xdr:twoCellAnchor>
  <xdr:twoCellAnchor>
    <xdr:from>
      <xdr:col>10</xdr:col>
      <xdr:colOff>285749</xdr:colOff>
      <xdr:row>10</xdr:row>
      <xdr:rowOff>133349</xdr:rowOff>
    </xdr:from>
    <xdr:to>
      <xdr:col>16</xdr:col>
      <xdr:colOff>600075</xdr:colOff>
      <xdr:row>21</xdr:row>
      <xdr:rowOff>28575</xdr:rowOff>
    </xdr:to>
    <xdr:sp macro="" textlink="">
      <xdr:nvSpPr>
        <xdr:cNvPr id="4" name="Прямоугольник 3">
          <a:extLst>
            <a:ext uri="{FF2B5EF4-FFF2-40B4-BE49-F238E27FC236}">
              <a16:creationId xmlns:a16="http://schemas.microsoft.com/office/drawing/2014/main" id="{00000000-0008-0000-0400-000004000000}"/>
            </a:ext>
          </a:extLst>
        </xdr:cNvPr>
        <xdr:cNvSpPr/>
      </xdr:nvSpPr>
      <xdr:spPr>
        <a:xfrm>
          <a:off x="7715249" y="2162174"/>
          <a:ext cx="4162426" cy="1800226"/>
        </a:xfrm>
        <a:prstGeom prst="rect">
          <a:avLst/>
        </a:prstGeom>
        <a:solidFill>
          <a:schemeClr val="accent5">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spcAft>
              <a:spcPts val="600"/>
            </a:spcAft>
          </a:pPr>
          <a:r>
            <a:rPr lang="ru-RU" sz="1050" b="1">
              <a:solidFill>
                <a:sysClr val="windowText" lastClr="000000"/>
              </a:solidFill>
            </a:rPr>
            <a:t>Примечание:</a:t>
          </a:r>
        </a:p>
        <a:p>
          <a:pPr algn="l">
            <a:spcAft>
              <a:spcPts val="600"/>
            </a:spcAft>
          </a:pPr>
          <a:r>
            <a:rPr lang="ru-RU" sz="1050" b="1">
              <a:solidFill>
                <a:sysClr val="windowText" lastClr="000000"/>
              </a:solidFill>
              <a:effectLst/>
            </a:rPr>
            <a:t>Начальное распределение </a:t>
          </a:r>
          <a:r>
            <a:rPr lang="ru-RU" sz="1050">
              <a:solidFill>
                <a:sysClr val="windowText" lastClr="000000"/>
              </a:solidFill>
              <a:effectLst/>
            </a:rPr>
            <a:t>-  сохранение установленного экспертом распределения</a:t>
          </a:r>
          <a:r>
            <a:rPr lang="ru-RU" sz="1050" baseline="0">
              <a:solidFill>
                <a:sysClr val="windowText" lastClr="000000"/>
              </a:solidFill>
              <a:effectLst/>
            </a:rPr>
            <a:t> финансирования продуктов по </a:t>
          </a:r>
          <a:r>
            <a:rPr lang="ru-RU" sz="1050">
              <a:solidFill>
                <a:sysClr val="windowText" lastClr="000000"/>
              </a:solidFill>
              <a:effectLst/>
            </a:rPr>
            <a:t>программ (проектов), % (лист</a:t>
          </a:r>
          <a:r>
            <a:rPr lang="ru-RU" sz="1050" baseline="0">
              <a:solidFill>
                <a:sysClr val="windowText" lastClr="000000"/>
              </a:solidFill>
              <a:effectLst/>
            </a:rPr>
            <a:t> "Исходные условия, ячейки </a:t>
          </a:r>
          <a:r>
            <a:rPr lang="en-US" sz="1050" b="1" baseline="0">
              <a:solidFill>
                <a:sysClr val="windowText" lastClr="000000"/>
              </a:solidFill>
              <a:effectLst/>
            </a:rPr>
            <a:t>B32:D36</a:t>
          </a:r>
          <a:r>
            <a:rPr lang="ru-RU" sz="1050">
              <a:solidFill>
                <a:sysClr val="windowText" lastClr="000000"/>
              </a:solidFill>
              <a:effectLst/>
            </a:rPr>
            <a:t>);</a:t>
          </a:r>
        </a:p>
        <a:p>
          <a:pPr marL="0" marR="0" indent="0" algn="l" defTabSz="914400" eaLnBrk="1" fontAlgn="auto" latinLnBrk="0" hangingPunct="1">
            <a:lnSpc>
              <a:spcPct val="100000"/>
            </a:lnSpc>
            <a:spcBef>
              <a:spcPts val="0"/>
            </a:spcBef>
            <a:spcAft>
              <a:spcPts val="600"/>
            </a:spcAft>
            <a:buClrTx/>
            <a:buSzTx/>
            <a:buFontTx/>
            <a:buNone/>
            <a:tabLst/>
            <a:defRPr/>
          </a:pPr>
          <a:r>
            <a:rPr lang="ru-RU" sz="1100" b="1">
              <a:solidFill>
                <a:sysClr val="windowText" lastClr="000000"/>
              </a:solidFill>
              <a:effectLst/>
              <a:latin typeface="+mn-lt"/>
              <a:ea typeface="+mn-ea"/>
              <a:cs typeface="+mn-cs"/>
            </a:rPr>
            <a:t>Новое распределение </a:t>
          </a:r>
          <a:r>
            <a:rPr lang="ru-RU" sz="1100">
              <a:solidFill>
                <a:sysClr val="windowText" lastClr="000000"/>
              </a:solidFill>
              <a:effectLst/>
              <a:latin typeface="+mn-lt"/>
              <a:ea typeface="+mn-ea"/>
              <a:cs typeface="+mn-cs"/>
            </a:rPr>
            <a:t>-  изменение  структуры распределения</a:t>
          </a:r>
          <a:r>
            <a:rPr lang="ru-RU" sz="1100" baseline="0">
              <a:solidFill>
                <a:sysClr val="windowText" lastClr="000000"/>
              </a:solidFill>
              <a:effectLst/>
              <a:latin typeface="+mn-lt"/>
              <a:ea typeface="+mn-ea"/>
              <a:cs typeface="+mn-cs"/>
            </a:rPr>
            <a:t> финансирования продуктов по </a:t>
          </a:r>
          <a:r>
            <a:rPr lang="ru-RU" sz="1100">
              <a:solidFill>
                <a:sysClr val="windowText" lastClr="000000"/>
              </a:solidFill>
              <a:effectLst/>
              <a:latin typeface="+mn-lt"/>
              <a:ea typeface="+mn-ea"/>
              <a:cs typeface="+mn-cs"/>
            </a:rPr>
            <a:t>программам (проектам)</a:t>
          </a:r>
          <a:r>
            <a:rPr lang="ru-RU" sz="1100" baseline="0">
              <a:solidFill>
                <a:sysClr val="windowText" lastClr="000000"/>
              </a:solidFill>
              <a:effectLst/>
              <a:latin typeface="+mn-lt"/>
              <a:ea typeface="+mn-ea"/>
              <a:cs typeface="+mn-cs"/>
            </a:rPr>
            <a:t> с учетом влияния создаваемой условной полезности (ценности) и достижения эффектов (масштаба, коммерциализации, диверсификации)</a:t>
          </a:r>
          <a:endParaRPr lang="ru-RU" sz="1050">
            <a:solidFill>
              <a:sysClr val="windowText" lastClr="000000"/>
            </a:solidFill>
            <a:effectLst/>
          </a:endParaRPr>
        </a:p>
        <a:p>
          <a:pPr algn="l">
            <a:spcAft>
              <a:spcPts val="600"/>
            </a:spcAft>
          </a:pPr>
          <a:endParaRPr lang="ru-RU" sz="1050">
            <a:solidFill>
              <a:sysClr val="windowText" lastClr="000000"/>
            </a:solidFill>
            <a:effectLst/>
          </a:endParaRPr>
        </a:p>
        <a:p>
          <a:pPr algn="l"/>
          <a:r>
            <a:rPr lang="ru-RU" sz="1050">
              <a:solidFill>
                <a:sysClr val="windowText" lastClr="000000"/>
              </a:solidFill>
              <a:effectLst/>
            </a:rPr>
            <a:t> </a:t>
          </a:r>
          <a:r>
            <a:rPr lang="ru-RU" sz="1050" b="1">
              <a:solidFill>
                <a:sysClr val="windowText" lastClr="000000"/>
              </a:solidFill>
            </a:rPr>
            <a:t> </a:t>
          </a:r>
        </a:p>
      </xdr:txBody>
    </xdr:sp>
    <xdr:clientData/>
  </xdr:twoCellAnchor>
  <xdr:twoCellAnchor>
    <xdr:from>
      <xdr:col>13</xdr:col>
      <xdr:colOff>38100</xdr:colOff>
      <xdr:row>32</xdr:row>
      <xdr:rowOff>0</xdr:rowOff>
    </xdr:from>
    <xdr:to>
      <xdr:col>22</xdr:col>
      <xdr:colOff>152402</xdr:colOff>
      <xdr:row>38</xdr:row>
      <xdr:rowOff>107950</xdr:rowOff>
    </xdr:to>
    <xdr:sp macro="" textlink="">
      <xdr:nvSpPr>
        <xdr:cNvPr id="5" name="Прямоугольник 9">
          <a:extLst>
            <a:ext uri="{FF2B5EF4-FFF2-40B4-BE49-F238E27FC236}">
              <a16:creationId xmlns:a16="http://schemas.microsoft.com/office/drawing/2014/main" id="{00000000-0008-0000-0400-000005000000}"/>
            </a:ext>
          </a:extLst>
        </xdr:cNvPr>
        <xdr:cNvSpPr/>
      </xdr:nvSpPr>
      <xdr:spPr>
        <a:xfrm>
          <a:off x="10166350" y="7391400"/>
          <a:ext cx="5657852" cy="1409700"/>
        </a:xfrm>
        <a:prstGeom prst="rect">
          <a:avLst/>
        </a:prstGeom>
        <a:solidFill>
          <a:schemeClr val="accent5">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ru-RU" sz="1100" b="1">
              <a:solidFill>
                <a:sysClr val="windowText" lastClr="000000"/>
              </a:solidFill>
            </a:rPr>
            <a:t>Примечание:</a:t>
          </a:r>
          <a:endParaRPr lang="en-GB" sz="1100" b="1">
            <a:solidFill>
              <a:sysClr val="windowText" lastClr="000000"/>
            </a:solidFill>
          </a:endParaRPr>
        </a:p>
        <a:p>
          <a:pPr algn="l"/>
          <a:r>
            <a:rPr lang="ru-RU" sz="1100" b="1" i="0" u="none" strike="noStrike">
              <a:solidFill>
                <a:sysClr val="windowText" lastClr="000000"/>
              </a:solidFill>
              <a:effectLst/>
              <a:latin typeface="+mn-lt"/>
              <a:ea typeface="+mn-ea"/>
              <a:cs typeface="+mn-cs"/>
            </a:rPr>
            <a:t>П1</a:t>
          </a:r>
          <a:r>
            <a:rPr lang="ru-RU" sz="1100" b="0" i="0" u="none" strike="noStrike">
              <a:solidFill>
                <a:sysClr val="windowText" lastClr="000000"/>
              </a:solidFill>
              <a:effectLst/>
              <a:latin typeface="+mn-lt"/>
              <a:ea typeface="+mn-ea"/>
              <a:cs typeface="+mn-cs"/>
            </a:rPr>
            <a:t> - программы, ориентированные на международную кооперацию, связанную с цивилизационными  задачами;</a:t>
          </a:r>
        </a:p>
        <a:p>
          <a:pPr algn="l"/>
          <a:r>
            <a:rPr lang="ru-RU" sz="1100" b="1" i="0" u="none" strike="noStrike">
              <a:solidFill>
                <a:sysClr val="windowText" lastClr="000000"/>
              </a:solidFill>
              <a:effectLst/>
              <a:latin typeface="+mn-lt"/>
              <a:ea typeface="+mn-ea"/>
              <a:cs typeface="+mn-cs"/>
            </a:rPr>
            <a:t>П2</a:t>
          </a:r>
          <a:r>
            <a:rPr lang="ru-RU" sz="1100" b="0" i="0" u="none" strike="noStrike">
              <a:solidFill>
                <a:sysClr val="windowText" lastClr="000000"/>
              </a:solidFill>
              <a:effectLst/>
              <a:latin typeface="+mn-lt"/>
              <a:ea typeface="+mn-ea"/>
              <a:cs typeface="+mn-cs"/>
            </a:rPr>
            <a:t> - группы коммерческих космических программ, реализуемые в средне – и долгосрочной перспективе</a:t>
          </a:r>
          <a:r>
            <a:rPr lang="ru-RU">
              <a:solidFill>
                <a:sysClr val="windowText" lastClr="000000"/>
              </a:solidFill>
              <a:effectLst/>
            </a:rPr>
            <a:t> ;</a:t>
          </a:r>
        </a:p>
        <a:p>
          <a:pPr algn="l"/>
          <a:r>
            <a:rPr lang="ru-RU" sz="1100" b="1" i="0" u="none" strike="noStrike">
              <a:solidFill>
                <a:sysClr val="windowText" lastClr="000000"/>
              </a:solidFill>
              <a:effectLst/>
              <a:latin typeface="+mn-lt"/>
              <a:ea typeface="+mn-ea"/>
              <a:cs typeface="+mn-cs"/>
            </a:rPr>
            <a:t>П3</a:t>
          </a:r>
          <a:r>
            <a:rPr lang="ru-RU" sz="1100" b="0" i="0" u="none" strike="noStrike">
              <a:solidFill>
                <a:sysClr val="windowText" lastClr="000000"/>
              </a:solidFill>
              <a:effectLst/>
              <a:latin typeface="+mn-lt"/>
              <a:ea typeface="+mn-ea"/>
              <a:cs typeface="+mn-cs"/>
            </a:rPr>
            <a:t> - проекты диверсификации, не имеющие космической направленности.</a:t>
          </a:r>
          <a:r>
            <a:rPr lang="ru-RU">
              <a:solidFill>
                <a:sysClr val="windowText" lastClr="000000"/>
              </a:solidFill>
              <a:effectLst/>
            </a:rPr>
            <a:t> </a:t>
          </a:r>
          <a:r>
            <a:rPr lang="ru-RU" sz="1100" b="1">
              <a:solidFill>
                <a:sysClr val="windowText" lastClr="000000"/>
              </a:solidFill>
            </a:rPr>
            <a:t> </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7</xdr:col>
          <xdr:colOff>12700</xdr:colOff>
          <xdr:row>5</xdr:row>
          <xdr:rowOff>139700</xdr:rowOff>
        </xdr:to>
        <xdr:sp macro="" textlink="">
          <xdr:nvSpPr>
            <xdr:cNvPr id="5121" name="Scroll Bar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xdr:row>
          <xdr:rowOff>0</xdr:rowOff>
        </xdr:from>
        <xdr:to>
          <xdr:col>6</xdr:col>
          <xdr:colOff>647700</xdr:colOff>
          <xdr:row>6</xdr:row>
          <xdr:rowOff>152400</xdr:rowOff>
        </xdr:to>
        <xdr:sp macro="" textlink="">
          <xdr:nvSpPr>
            <xdr:cNvPr id="5122" name="Scroll Bar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647700</xdr:colOff>
          <xdr:row>7</xdr:row>
          <xdr:rowOff>0</xdr:rowOff>
        </xdr:from>
        <xdr:to>
          <xdr:col>7</xdr:col>
          <xdr:colOff>0</xdr:colOff>
          <xdr:row>7</xdr:row>
          <xdr:rowOff>177800</xdr:rowOff>
        </xdr:to>
        <xdr:sp macro="" textlink="">
          <xdr:nvSpPr>
            <xdr:cNvPr id="5123" name="Scroll Bar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647700</xdr:colOff>
          <xdr:row>8</xdr:row>
          <xdr:rowOff>177800</xdr:rowOff>
        </xdr:from>
        <xdr:to>
          <xdr:col>3</xdr:col>
          <xdr:colOff>622300</xdr:colOff>
          <xdr:row>10</xdr:row>
          <xdr:rowOff>177800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500-000004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mbria" pitchFamily="1" charset="0"/>
                </a:rPr>
                <a:t>Recalculate</a:t>
              </a:r>
            </a:p>
          </xdr:txBody>
        </xdr:sp>
        <xdr:clientData fPrintsWithSheet="0"/>
      </xdr:twoCellAnchor>
    </mc:Choice>
    <mc:Fallback/>
  </mc:AlternateContent>
  <xdr:twoCellAnchor>
    <xdr:from>
      <xdr:col>0</xdr:col>
      <xdr:colOff>57150</xdr:colOff>
      <xdr:row>17</xdr:row>
      <xdr:rowOff>40480</xdr:rowOff>
    </xdr:from>
    <xdr:to>
      <xdr:col>6</xdr:col>
      <xdr:colOff>621508</xdr:colOff>
      <xdr:row>34</xdr:row>
      <xdr:rowOff>23812</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66675</xdr:colOff>
      <xdr:row>0</xdr:row>
      <xdr:rowOff>0</xdr:rowOff>
    </xdr:from>
    <xdr:to>
      <xdr:col>13</xdr:col>
      <xdr:colOff>623888</xdr:colOff>
      <xdr:row>16</xdr:row>
      <xdr:rowOff>164307</xdr:rowOff>
    </xdr:to>
    <xdr:graphicFrame macro="">
      <xdr:nvGraphicFramePr>
        <xdr:cNvPr id="8" name="Chart 7">
          <a:extLst>
            <a:ext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66676</xdr:colOff>
      <xdr:row>17</xdr:row>
      <xdr:rowOff>0</xdr:rowOff>
    </xdr:from>
    <xdr:to>
      <xdr:col>13</xdr:col>
      <xdr:colOff>614364</xdr:colOff>
      <xdr:row>33</xdr:row>
      <xdr:rowOff>164307</xdr:rowOff>
    </xdr:to>
    <xdr:graphicFrame macro="">
      <xdr:nvGraphicFramePr>
        <xdr:cNvPr id="9" name="Chart 8">
          <a:extLst>
            <a:ext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209550</xdr:colOff>
      <xdr:row>31</xdr:row>
      <xdr:rowOff>19050</xdr:rowOff>
    </xdr:from>
    <xdr:to>
      <xdr:col>3</xdr:col>
      <xdr:colOff>428625</xdr:colOff>
      <xdr:row>32</xdr:row>
      <xdr:rowOff>9525</xdr:rowOff>
    </xdr:to>
    <xdr:pic>
      <xdr:nvPicPr>
        <xdr:cNvPr id="5" name="Рисунок 4">
          <a:extLst>
            <a:ext uri="{FF2B5EF4-FFF2-40B4-BE49-F238E27FC236}">
              <a16:creationId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752600" y="5924550"/>
          <a:ext cx="2190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219075</xdr:colOff>
      <xdr:row>31</xdr:row>
      <xdr:rowOff>19050</xdr:rowOff>
    </xdr:from>
    <xdr:to>
      <xdr:col>4</xdr:col>
      <xdr:colOff>438150</xdr:colOff>
      <xdr:row>32</xdr:row>
      <xdr:rowOff>9525</xdr:rowOff>
    </xdr:to>
    <xdr:pic>
      <xdr:nvPicPr>
        <xdr:cNvPr id="6" name="Рисунок 5">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400300" y="5924550"/>
          <a:ext cx="2190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228600</xdr:colOff>
      <xdr:row>31</xdr:row>
      <xdr:rowOff>19050</xdr:rowOff>
    </xdr:from>
    <xdr:to>
      <xdr:col>6</xdr:col>
      <xdr:colOff>457200</xdr:colOff>
      <xdr:row>32</xdr:row>
      <xdr:rowOff>9525</xdr:rowOff>
    </xdr:to>
    <xdr:pic>
      <xdr:nvPicPr>
        <xdr:cNvPr id="7" name="Рисунок 6">
          <a:extLst>
            <a:ext uri="{FF2B5EF4-FFF2-40B4-BE49-F238E27FC236}">
              <a16:creationId xmlns:a16="http://schemas.microsoft.com/office/drawing/2014/main" id="{00000000-0008-0000-0600-000007000000}"/>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524250" y="5924550"/>
          <a:ext cx="22860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209550</xdr:colOff>
      <xdr:row>31</xdr:row>
      <xdr:rowOff>19050</xdr:rowOff>
    </xdr:from>
    <xdr:to>
      <xdr:col>7</xdr:col>
      <xdr:colOff>428625</xdr:colOff>
      <xdr:row>32</xdr:row>
      <xdr:rowOff>19050</xdr:rowOff>
    </xdr:to>
    <xdr:pic>
      <xdr:nvPicPr>
        <xdr:cNvPr id="8" name="Рисунок 7">
          <a:extLst>
            <a:ext uri="{FF2B5EF4-FFF2-40B4-BE49-F238E27FC236}">
              <a16:creationId xmlns:a16="http://schemas.microsoft.com/office/drawing/2014/main" id="{00000000-0008-0000-0600-000008000000}"/>
            </a:ext>
          </a:extLst>
        </xdr:cNvPr>
        <xdr:cNvPicPr>
          <a:picLocks noChangeAspect="1" noChangeArrowheads="1"/>
        </xdr:cNvPicPr>
      </xdr:nvPicPr>
      <xdr:blipFill>
        <a:blip xmlns:r="http://schemas.openxmlformats.org/officeDocument/2006/relationships" r:embed="rId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171950" y="5924550"/>
          <a:ext cx="2190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32</xdr:row>
      <xdr:rowOff>19050</xdr:rowOff>
    </xdr:from>
    <xdr:to>
      <xdr:col>3</xdr:col>
      <xdr:colOff>428625</xdr:colOff>
      <xdr:row>33</xdr:row>
      <xdr:rowOff>9525</xdr:rowOff>
    </xdr:to>
    <xdr:pic>
      <xdr:nvPicPr>
        <xdr:cNvPr id="9" name="Рисунок 8">
          <a:extLst>
            <a:ext uri="{FF2B5EF4-FFF2-40B4-BE49-F238E27FC236}">
              <a16:creationId xmlns:a16="http://schemas.microsoft.com/office/drawing/2014/main" id="{00000000-0008-0000-0600-000009000000}"/>
            </a:ext>
          </a:extLst>
        </xdr:cNvPr>
        <xdr:cNvPicPr>
          <a:picLocks noChangeAspect="1" noChangeArrowheads="1"/>
        </xdr:cNvPicPr>
      </xdr:nvPicPr>
      <xdr:blipFill>
        <a:blip xmlns:r="http://schemas.openxmlformats.org/officeDocument/2006/relationships" r:embed="rId5">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752600" y="6115050"/>
          <a:ext cx="2190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219075</xdr:colOff>
      <xdr:row>32</xdr:row>
      <xdr:rowOff>19050</xdr:rowOff>
    </xdr:from>
    <xdr:to>
      <xdr:col>4</xdr:col>
      <xdr:colOff>438150</xdr:colOff>
      <xdr:row>33</xdr:row>
      <xdr:rowOff>9525</xdr:rowOff>
    </xdr:to>
    <xdr:pic>
      <xdr:nvPicPr>
        <xdr:cNvPr id="10" name="Рисунок 9">
          <a:extLst>
            <a:ext uri="{FF2B5EF4-FFF2-40B4-BE49-F238E27FC236}">
              <a16:creationId xmlns:a16="http://schemas.microsoft.com/office/drawing/2014/main" id="{00000000-0008-0000-0600-00000A000000}"/>
            </a:ext>
          </a:extLst>
        </xdr:cNvPr>
        <xdr:cNvPicPr>
          <a:picLocks noChangeAspect="1" noChangeArrowheads="1"/>
        </xdr:cNvPicPr>
      </xdr:nvPicPr>
      <xdr:blipFill>
        <a:blip xmlns:r="http://schemas.openxmlformats.org/officeDocument/2006/relationships" r:embed="rId6">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400300" y="6115050"/>
          <a:ext cx="2190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238125</xdr:colOff>
      <xdr:row>32</xdr:row>
      <xdr:rowOff>19050</xdr:rowOff>
    </xdr:from>
    <xdr:to>
      <xdr:col>6</xdr:col>
      <xdr:colOff>466725</xdr:colOff>
      <xdr:row>33</xdr:row>
      <xdr:rowOff>9525</xdr:rowOff>
    </xdr:to>
    <xdr:pic>
      <xdr:nvPicPr>
        <xdr:cNvPr id="11" name="Рисунок 10">
          <a:extLst>
            <a:ext uri="{FF2B5EF4-FFF2-40B4-BE49-F238E27FC236}">
              <a16:creationId xmlns:a16="http://schemas.microsoft.com/office/drawing/2014/main" id="{00000000-0008-0000-0600-00000B000000}"/>
            </a:ext>
          </a:extLst>
        </xdr:cNvPr>
        <xdr:cNvPicPr>
          <a:picLocks noChangeAspect="1" noChangeArrowheads="1"/>
        </xdr:cNvPicPr>
      </xdr:nvPicPr>
      <xdr:blipFill>
        <a:blip xmlns:r="http://schemas.openxmlformats.org/officeDocument/2006/relationships" r:embed="rId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533775" y="6115050"/>
          <a:ext cx="22860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209550</xdr:colOff>
      <xdr:row>32</xdr:row>
      <xdr:rowOff>28575</xdr:rowOff>
    </xdr:from>
    <xdr:to>
      <xdr:col>7</xdr:col>
      <xdr:colOff>428625</xdr:colOff>
      <xdr:row>33</xdr:row>
      <xdr:rowOff>28575</xdr:rowOff>
    </xdr:to>
    <xdr:pic>
      <xdr:nvPicPr>
        <xdr:cNvPr id="12" name="Рисунок 11">
          <a:extLst>
            <a:ext uri="{FF2B5EF4-FFF2-40B4-BE49-F238E27FC236}">
              <a16:creationId xmlns:a16="http://schemas.microsoft.com/office/drawing/2014/main" id="{00000000-0008-0000-0600-00000C000000}"/>
            </a:ext>
          </a:extLst>
        </xdr:cNvPr>
        <xdr:cNvPicPr>
          <a:picLocks noChangeAspect="1" noChangeArrowheads="1"/>
        </xdr:cNvPicPr>
      </xdr:nvPicPr>
      <xdr:blipFill>
        <a:blip xmlns:r="http://schemas.openxmlformats.org/officeDocument/2006/relationships" r:embed="rId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171950" y="6124575"/>
          <a:ext cx="2190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238125</xdr:colOff>
      <xdr:row>33</xdr:row>
      <xdr:rowOff>19050</xdr:rowOff>
    </xdr:from>
    <xdr:to>
      <xdr:col>6</xdr:col>
      <xdr:colOff>447675</xdr:colOff>
      <xdr:row>34</xdr:row>
      <xdr:rowOff>19050</xdr:rowOff>
    </xdr:to>
    <xdr:pic>
      <xdr:nvPicPr>
        <xdr:cNvPr id="13" name="Рисунок 12">
          <a:extLst>
            <a:ext uri="{FF2B5EF4-FFF2-40B4-BE49-F238E27FC236}">
              <a16:creationId xmlns:a16="http://schemas.microsoft.com/office/drawing/2014/main" id="{00000000-0008-0000-0600-00000D000000}"/>
            </a:ext>
          </a:extLst>
        </xdr:cNvPr>
        <xdr:cNvPicPr>
          <a:picLocks noChangeAspect="1" noChangeArrowheads="1"/>
        </xdr:cNvPicPr>
      </xdr:nvPicPr>
      <xdr:blipFill>
        <a:blip xmlns:r="http://schemas.openxmlformats.org/officeDocument/2006/relationships" r:embed="rId9">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533775" y="6305550"/>
          <a:ext cx="2095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209550</xdr:colOff>
      <xdr:row>33</xdr:row>
      <xdr:rowOff>19050</xdr:rowOff>
    </xdr:from>
    <xdr:to>
      <xdr:col>7</xdr:col>
      <xdr:colOff>409575</xdr:colOff>
      <xdr:row>34</xdr:row>
      <xdr:rowOff>19050</xdr:rowOff>
    </xdr:to>
    <xdr:pic>
      <xdr:nvPicPr>
        <xdr:cNvPr id="14" name="Рисунок 13">
          <a:extLst>
            <a:ext uri="{FF2B5EF4-FFF2-40B4-BE49-F238E27FC236}">
              <a16:creationId xmlns:a16="http://schemas.microsoft.com/office/drawing/2014/main" id="{00000000-0008-0000-0600-00000E000000}"/>
            </a:ext>
          </a:extLst>
        </xdr:cNvPr>
        <xdr:cNvPicPr>
          <a:picLocks noChangeAspect="1" noChangeArrowheads="1"/>
        </xdr:cNvPicPr>
      </xdr:nvPicPr>
      <xdr:blipFill>
        <a:blip xmlns:r="http://schemas.openxmlformats.org/officeDocument/2006/relationships" r:embed="rId10">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171950" y="6305550"/>
          <a:ext cx="2000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35</xdr:row>
      <xdr:rowOff>19050</xdr:rowOff>
    </xdr:from>
    <xdr:to>
      <xdr:col>3</xdr:col>
      <xdr:colOff>466725</xdr:colOff>
      <xdr:row>36</xdr:row>
      <xdr:rowOff>28575</xdr:rowOff>
    </xdr:to>
    <xdr:pic>
      <xdr:nvPicPr>
        <xdr:cNvPr id="15" name="Рисунок 14">
          <a:extLst>
            <a:ext uri="{FF2B5EF4-FFF2-40B4-BE49-F238E27FC236}">
              <a16:creationId xmlns:a16="http://schemas.microsoft.com/office/drawing/2014/main" id="{00000000-0008-0000-0600-00000F000000}"/>
            </a:ext>
          </a:extLst>
        </xdr:cNvPr>
        <xdr:cNvPicPr>
          <a:picLocks noChangeAspect="1" noChangeArrowheads="1"/>
        </xdr:cNvPicPr>
      </xdr:nvPicPr>
      <xdr:blipFill>
        <a:blip xmlns:r="http://schemas.openxmlformats.org/officeDocument/2006/relationships" r:embed="rId1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752600" y="6686550"/>
          <a:ext cx="2571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219075</xdr:colOff>
      <xdr:row>35</xdr:row>
      <xdr:rowOff>19050</xdr:rowOff>
    </xdr:from>
    <xdr:to>
      <xdr:col>4</xdr:col>
      <xdr:colOff>476250</xdr:colOff>
      <xdr:row>36</xdr:row>
      <xdr:rowOff>28575</xdr:rowOff>
    </xdr:to>
    <xdr:pic>
      <xdr:nvPicPr>
        <xdr:cNvPr id="16" name="Рисунок 15">
          <a:extLst>
            <a:ext uri="{FF2B5EF4-FFF2-40B4-BE49-F238E27FC236}">
              <a16:creationId xmlns:a16="http://schemas.microsoft.com/office/drawing/2014/main" id="{00000000-0008-0000-0600-000010000000}"/>
            </a:ext>
          </a:extLst>
        </xdr:cNvPr>
        <xdr:cNvPicPr>
          <a:picLocks noChangeAspect="1" noChangeArrowheads="1"/>
        </xdr:cNvPicPr>
      </xdr:nvPicPr>
      <xdr:blipFill>
        <a:blip xmlns:r="http://schemas.openxmlformats.org/officeDocument/2006/relationships" r:embed="rId1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400300" y="6686550"/>
          <a:ext cx="2571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238125</xdr:colOff>
      <xdr:row>35</xdr:row>
      <xdr:rowOff>19050</xdr:rowOff>
    </xdr:from>
    <xdr:to>
      <xdr:col>6</xdr:col>
      <xdr:colOff>504825</xdr:colOff>
      <xdr:row>36</xdr:row>
      <xdr:rowOff>28575</xdr:rowOff>
    </xdr:to>
    <xdr:pic>
      <xdr:nvPicPr>
        <xdr:cNvPr id="17" name="Рисунок 16">
          <a:extLst>
            <a:ext uri="{FF2B5EF4-FFF2-40B4-BE49-F238E27FC236}">
              <a16:creationId xmlns:a16="http://schemas.microsoft.com/office/drawing/2014/main" id="{00000000-0008-0000-0600-000011000000}"/>
            </a:ext>
          </a:extLst>
        </xdr:cNvPr>
        <xdr:cNvPicPr>
          <a:picLocks noChangeAspect="1" noChangeArrowheads="1"/>
        </xdr:cNvPicPr>
      </xdr:nvPicPr>
      <xdr:blipFill>
        <a:blip xmlns:r="http://schemas.openxmlformats.org/officeDocument/2006/relationships" r:embed="rId1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533775" y="6686550"/>
          <a:ext cx="26670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209550</xdr:colOff>
      <xdr:row>35</xdr:row>
      <xdr:rowOff>19050</xdr:rowOff>
    </xdr:from>
    <xdr:to>
      <xdr:col>7</xdr:col>
      <xdr:colOff>466725</xdr:colOff>
      <xdr:row>36</xdr:row>
      <xdr:rowOff>28575</xdr:rowOff>
    </xdr:to>
    <xdr:pic>
      <xdr:nvPicPr>
        <xdr:cNvPr id="18" name="Рисунок 17">
          <a:extLst>
            <a:ext uri="{FF2B5EF4-FFF2-40B4-BE49-F238E27FC236}">
              <a16:creationId xmlns:a16="http://schemas.microsoft.com/office/drawing/2014/main" id="{00000000-0008-0000-0600-000012000000}"/>
            </a:ext>
          </a:extLst>
        </xdr:cNvPr>
        <xdr:cNvPicPr>
          <a:picLocks noChangeAspect="1" noChangeArrowheads="1"/>
        </xdr:cNvPicPr>
      </xdr:nvPicPr>
      <xdr:blipFill>
        <a:blip xmlns:r="http://schemas.openxmlformats.org/officeDocument/2006/relationships" r:embed="rId1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171950" y="6686550"/>
          <a:ext cx="2571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242570</xdr:colOff>
      <xdr:row>21</xdr:row>
      <xdr:rowOff>19050</xdr:rowOff>
    </xdr:from>
    <xdr:to>
      <xdr:col>13</xdr:col>
      <xdr:colOff>438149</xdr:colOff>
      <xdr:row>22</xdr:row>
      <xdr:rowOff>38099</xdr:rowOff>
    </xdr:to>
    <xdr:pic>
      <xdr:nvPicPr>
        <xdr:cNvPr id="19" name="Рисунок 18">
          <a:extLst>
            <a:ext uri="{FF2B5EF4-FFF2-40B4-BE49-F238E27FC236}">
              <a16:creationId xmlns:a16="http://schemas.microsoft.com/office/drawing/2014/main" id="{00000000-0008-0000-0600-000013000000}"/>
            </a:ext>
          </a:extLst>
        </xdr:cNvPr>
        <xdr:cNvPicPr>
          <a:picLocks noChangeAspect="1" noChangeArrowheads="1"/>
        </xdr:cNvPicPr>
      </xdr:nvPicPr>
      <xdr:blipFill>
        <a:blip xmlns:r="http://schemas.openxmlformats.org/officeDocument/2006/relationships" r:embed="rId15">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8081645" y="4019550"/>
          <a:ext cx="195579" cy="2095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238125</xdr:colOff>
      <xdr:row>21</xdr:row>
      <xdr:rowOff>9525</xdr:rowOff>
    </xdr:from>
    <xdr:to>
      <xdr:col>10</xdr:col>
      <xdr:colOff>447675</xdr:colOff>
      <xdr:row>22</xdr:row>
      <xdr:rowOff>28575</xdr:rowOff>
    </xdr:to>
    <xdr:pic>
      <xdr:nvPicPr>
        <xdr:cNvPr id="20" name="Рисунок 19">
          <a:extLst>
            <a:ext uri="{FF2B5EF4-FFF2-40B4-BE49-F238E27FC236}">
              <a16:creationId xmlns:a16="http://schemas.microsoft.com/office/drawing/2014/main" id="{00000000-0008-0000-0600-000014000000}"/>
            </a:ext>
          </a:extLst>
        </xdr:cNvPr>
        <xdr:cNvPicPr>
          <a:picLocks noChangeAspect="1" noChangeArrowheads="1"/>
        </xdr:cNvPicPr>
      </xdr:nvPicPr>
      <xdr:blipFill>
        <a:blip xmlns:r="http://schemas.openxmlformats.org/officeDocument/2006/relationships" r:embed="rId16">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353175" y="4010025"/>
          <a:ext cx="20955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228600</xdr:colOff>
      <xdr:row>21</xdr:row>
      <xdr:rowOff>28575</xdr:rowOff>
    </xdr:from>
    <xdr:to>
      <xdr:col>11</xdr:col>
      <xdr:colOff>419099</xdr:colOff>
      <xdr:row>22</xdr:row>
      <xdr:rowOff>28574</xdr:rowOff>
    </xdr:to>
    <xdr:pic>
      <xdr:nvPicPr>
        <xdr:cNvPr id="21" name="Рисунок 20">
          <a:extLst>
            <a:ext uri="{FF2B5EF4-FFF2-40B4-BE49-F238E27FC236}">
              <a16:creationId xmlns:a16="http://schemas.microsoft.com/office/drawing/2014/main" id="{00000000-0008-0000-0600-000015000000}"/>
            </a:ext>
          </a:extLst>
        </xdr:cNvPr>
        <xdr:cNvPicPr>
          <a:picLocks noChangeAspect="1" noChangeArrowheads="1"/>
        </xdr:cNvPicPr>
      </xdr:nvPicPr>
      <xdr:blipFill>
        <a:blip xmlns:r="http://schemas.openxmlformats.org/officeDocument/2006/relationships" r:embed="rId1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000875" y="4029075"/>
          <a:ext cx="190499" cy="1904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228600</xdr:colOff>
      <xdr:row>20</xdr:row>
      <xdr:rowOff>188528</xdr:rowOff>
    </xdr:from>
    <xdr:to>
      <xdr:col>14</xdr:col>
      <xdr:colOff>447675</xdr:colOff>
      <xdr:row>22</xdr:row>
      <xdr:rowOff>19049</xdr:rowOff>
    </xdr:to>
    <xdr:pic>
      <xdr:nvPicPr>
        <xdr:cNvPr id="22" name="Рисунок 21">
          <a:extLst>
            <a:ext uri="{FF2B5EF4-FFF2-40B4-BE49-F238E27FC236}">
              <a16:creationId xmlns:a16="http://schemas.microsoft.com/office/drawing/2014/main" id="{00000000-0008-0000-0600-000016000000}"/>
            </a:ext>
          </a:extLst>
        </xdr:cNvPr>
        <xdr:cNvPicPr>
          <a:picLocks noChangeAspect="1" noChangeArrowheads="1"/>
        </xdr:cNvPicPr>
      </xdr:nvPicPr>
      <xdr:blipFill>
        <a:blip xmlns:r="http://schemas.openxmlformats.org/officeDocument/2006/relationships" r:embed="rId1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8734425" y="3998528"/>
          <a:ext cx="219075" cy="2115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104775</xdr:colOff>
      <xdr:row>39</xdr:row>
      <xdr:rowOff>142875</xdr:rowOff>
    </xdr:from>
    <xdr:to>
      <xdr:col>17</xdr:col>
      <xdr:colOff>123825</xdr:colOff>
      <xdr:row>47</xdr:row>
      <xdr:rowOff>137160</xdr:rowOff>
    </xdr:to>
    <xdr:pic>
      <xdr:nvPicPr>
        <xdr:cNvPr id="29" name="Рисунок 28">
          <a:extLst>
            <a:ext uri="{FF2B5EF4-FFF2-40B4-BE49-F238E27FC236}">
              <a16:creationId xmlns:a16="http://schemas.microsoft.com/office/drawing/2014/main" id="{00000000-0008-0000-0600-00001D000000}"/>
            </a:ext>
          </a:extLst>
        </xdr:cNvPr>
        <xdr:cNvPicPr/>
      </xdr:nvPicPr>
      <xdr:blipFill>
        <a:blip xmlns:r="http://schemas.openxmlformats.org/officeDocument/2006/relationships" r:embed="rId19"/>
        <a:stretch>
          <a:fillRect/>
        </a:stretch>
      </xdr:blipFill>
      <xdr:spPr>
        <a:xfrm>
          <a:off x="4848225" y="7572375"/>
          <a:ext cx="5924550" cy="1518285"/>
        </a:xfrm>
        <a:prstGeom prst="rect">
          <a:avLst/>
        </a:prstGeom>
      </xdr:spPr>
    </xdr:pic>
    <xdr:clientData/>
  </xdr:twoCellAnchor>
  <xdr:twoCellAnchor>
    <xdr:from>
      <xdr:col>15</xdr:col>
      <xdr:colOff>0</xdr:colOff>
      <xdr:row>38</xdr:row>
      <xdr:rowOff>0</xdr:rowOff>
    </xdr:from>
    <xdr:to>
      <xdr:col>17</xdr:col>
      <xdr:colOff>333375</xdr:colOff>
      <xdr:row>39</xdr:row>
      <xdr:rowOff>85725</xdr:rowOff>
    </xdr:to>
    <xdr:pic>
      <xdr:nvPicPr>
        <xdr:cNvPr id="26" name="Рисунок 25">
          <a:extLst>
            <a:ext uri="{FF2B5EF4-FFF2-40B4-BE49-F238E27FC236}">
              <a16:creationId xmlns:a16="http://schemas.microsoft.com/office/drawing/2014/main" id="{00000000-0008-0000-0600-00001A000000}"/>
            </a:ext>
          </a:extLst>
        </xdr:cNvPr>
        <xdr:cNvPicPr>
          <a:picLocks noChangeAspect="1" noChangeArrowheads="1"/>
        </xdr:cNvPicPr>
      </xdr:nvPicPr>
      <xdr:blipFill>
        <a:blip xmlns:r="http://schemas.openxmlformats.org/officeDocument/2006/relationships" r:embed="rId20">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305925" y="7239000"/>
          <a:ext cx="1676400" cy="276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0</xdr:colOff>
      <xdr:row>40</xdr:row>
      <xdr:rowOff>0</xdr:rowOff>
    </xdr:from>
    <xdr:to>
      <xdr:col>19</xdr:col>
      <xdr:colOff>123825</xdr:colOff>
      <xdr:row>41</xdr:row>
      <xdr:rowOff>66675</xdr:rowOff>
    </xdr:to>
    <xdr:pic>
      <xdr:nvPicPr>
        <xdr:cNvPr id="27" name="Рисунок 26">
          <a:extLst>
            <a:ext uri="{FF2B5EF4-FFF2-40B4-BE49-F238E27FC236}">
              <a16:creationId xmlns:a16="http://schemas.microsoft.com/office/drawing/2014/main" id="{00000000-0008-0000-0600-00001B000000}"/>
            </a:ext>
          </a:extLst>
        </xdr:cNvPr>
        <xdr:cNvPicPr>
          <a:picLocks noChangeAspect="1" noChangeArrowheads="1"/>
        </xdr:cNvPicPr>
      </xdr:nvPicPr>
      <xdr:blipFill>
        <a:blip xmlns:r="http://schemas.openxmlformats.org/officeDocument/2006/relationships" r:embed="rId2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1087100" y="7620000"/>
          <a:ext cx="828675"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4.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817025-7F1D-4708-9A96-BCD882ED9406}">
  <sheetPr>
    <outlinePr summaryBelow="0"/>
  </sheetPr>
  <dimension ref="A1:J121"/>
  <sheetViews>
    <sheetView showGridLines="0" workbookViewId="0">
      <pane ySplit="9" topLeftCell="A10" activePane="bottomLeft" state="frozen"/>
      <selection pane="bottomLeft" sqref="A1:XFD1048576"/>
    </sheetView>
  </sheetViews>
  <sheetFormatPr baseColWidth="10" defaultColWidth="8.83203125" defaultRowHeight="12.75" customHeight="1" outlineLevelCol="1" x14ac:dyDescent="0.2"/>
  <cols>
    <col min="1" max="1" width="19.1640625" bestFit="1" customWidth="1"/>
    <col min="2" max="2" width="18.1640625" bestFit="1" customWidth="1"/>
    <col min="3" max="3" width="25.33203125" hidden="1" customWidth="1" outlineLevel="1"/>
    <col min="4" max="4" width="11" bestFit="1" customWidth="1" collapsed="1"/>
    <col min="5" max="5" width="13.6640625" bestFit="1" customWidth="1"/>
    <col min="6" max="6" width="6.33203125" bestFit="1" customWidth="1"/>
    <col min="7" max="7" width="8" bestFit="1" customWidth="1"/>
    <col min="8" max="8" width="4.6640625" bestFit="1" customWidth="1"/>
    <col min="9" max="9" width="35.1640625" hidden="1" customWidth="1" outlineLevel="1"/>
    <col min="10" max="10" width="9" collapsed="1"/>
  </cols>
  <sheetData>
    <row r="1" spans="1:9" ht="12.75" customHeight="1" x14ac:dyDescent="0.2">
      <c r="A1" s="156" t="s">
        <v>225</v>
      </c>
      <c r="B1" s="156" t="s">
        <v>226</v>
      </c>
      <c r="C1" s="156"/>
      <c r="D1" s="156"/>
      <c r="E1" s="156"/>
      <c r="F1" s="156"/>
      <c r="G1" s="156"/>
      <c r="H1" s="156"/>
      <c r="I1" s="157"/>
    </row>
    <row r="2" spans="1:9" ht="12.75" customHeight="1" x14ac:dyDescent="0.2">
      <c r="A2" s="156" t="s">
        <v>227</v>
      </c>
      <c r="B2" s="156">
        <v>1</v>
      </c>
      <c r="C2" s="156"/>
      <c r="D2" s="156"/>
      <c r="E2" s="156"/>
      <c r="F2" s="156"/>
      <c r="G2" s="156"/>
      <c r="H2" s="156"/>
      <c r="I2" s="157"/>
    </row>
    <row r="3" spans="1:9" ht="12.75" customHeight="1" x14ac:dyDescent="0.2">
      <c r="A3" s="156" t="s">
        <v>473</v>
      </c>
      <c r="B3" s="156" t="s">
        <v>474</v>
      </c>
      <c r="C3" s="156"/>
      <c r="D3" s="156"/>
      <c r="E3" s="156"/>
      <c r="F3" s="156"/>
      <c r="G3" s="156"/>
      <c r="H3" s="156"/>
      <c r="I3" s="157"/>
    </row>
    <row r="4" spans="1:9" ht="12.75" customHeight="1" x14ac:dyDescent="0.2">
      <c r="A4" s="156" t="s">
        <v>228</v>
      </c>
      <c r="B4" s="156" t="s">
        <v>229</v>
      </c>
      <c r="C4" s="156"/>
      <c r="D4" s="156"/>
      <c r="E4" s="156"/>
      <c r="F4" s="156"/>
      <c r="G4" s="156"/>
      <c r="H4" s="156"/>
      <c r="I4" s="157"/>
    </row>
    <row r="5" spans="1:9" ht="12.75" customHeight="1" x14ac:dyDescent="0.2">
      <c r="A5" s="156" t="s">
        <v>230</v>
      </c>
      <c r="B5" s="156" t="s">
        <v>231</v>
      </c>
      <c r="C5" s="156"/>
      <c r="D5" s="156"/>
      <c r="E5" s="156"/>
      <c r="F5" s="156"/>
      <c r="G5" s="156"/>
      <c r="H5" s="156"/>
      <c r="I5" s="157"/>
    </row>
    <row r="6" spans="1:9" ht="12.75" customHeight="1" x14ac:dyDescent="0.2">
      <c r="A6" s="156" t="s">
        <v>232</v>
      </c>
      <c r="B6" s="156" t="s">
        <v>233</v>
      </c>
      <c r="C6" s="156"/>
      <c r="D6" s="156"/>
      <c r="E6" s="156"/>
      <c r="F6" s="156"/>
      <c r="G6" s="156"/>
      <c r="H6" s="156"/>
      <c r="I6" s="157"/>
    </row>
    <row r="7" spans="1:9" ht="12.75" customHeight="1" x14ac:dyDescent="0.2">
      <c r="A7" s="157" t="s">
        <v>234</v>
      </c>
      <c r="B7" s="158">
        <v>43565.789872685185</v>
      </c>
      <c r="C7" s="157"/>
      <c r="D7" s="157"/>
      <c r="E7" s="157"/>
      <c r="F7" s="157"/>
      <c r="G7" s="157"/>
      <c r="H7" s="157"/>
      <c r="I7" s="157"/>
    </row>
    <row r="8" spans="1:9" ht="12.75" customHeight="1" x14ac:dyDescent="0.2">
      <c r="A8" s="162"/>
      <c r="B8" s="162"/>
      <c r="C8" s="162"/>
      <c r="D8" s="162"/>
      <c r="E8" s="162"/>
      <c r="F8" s="162"/>
      <c r="G8" s="162"/>
      <c r="H8" s="162"/>
      <c r="I8" s="162"/>
    </row>
    <row r="9" spans="1:9" ht="12.75" customHeight="1" x14ac:dyDescent="0.2">
      <c r="A9" s="163" t="s">
        <v>235</v>
      </c>
      <c r="B9" s="163" t="s">
        <v>236</v>
      </c>
      <c r="C9" s="163" t="s">
        <v>242</v>
      </c>
      <c r="D9" s="163" t="s">
        <v>241</v>
      </c>
      <c r="E9" s="163" t="s">
        <v>243</v>
      </c>
      <c r="F9" s="163" t="s">
        <v>244</v>
      </c>
      <c r="G9" s="163" t="s">
        <v>245</v>
      </c>
      <c r="H9" s="163" t="s">
        <v>246</v>
      </c>
      <c r="I9" s="164" t="s">
        <v>247</v>
      </c>
    </row>
    <row r="10" spans="1:9" ht="12.75" customHeight="1" x14ac:dyDescent="0.2">
      <c r="A10" s="160"/>
      <c r="B10" s="160"/>
      <c r="C10" s="160"/>
      <c r="D10" s="160"/>
      <c r="E10" s="160"/>
      <c r="F10" s="160"/>
      <c r="G10" s="160"/>
      <c r="H10" s="160"/>
      <c r="I10" s="160"/>
    </row>
    <row r="11" spans="1:9" ht="12.75" customHeight="1" x14ac:dyDescent="0.2">
      <c r="A11" s="159" t="s">
        <v>492</v>
      </c>
      <c r="B11" s="159" t="s">
        <v>493</v>
      </c>
      <c r="C11" s="159" t="s">
        <v>538</v>
      </c>
      <c r="D11" s="161"/>
      <c r="E11" s="159"/>
      <c r="F11" s="159" t="s">
        <v>249</v>
      </c>
      <c r="G11" s="159" t="s">
        <v>250</v>
      </c>
      <c r="H11" s="159" t="s">
        <v>539</v>
      </c>
      <c r="I11" s="159" t="s">
        <v>722</v>
      </c>
    </row>
    <row r="12" spans="1:9" ht="12.75" customHeight="1" x14ac:dyDescent="0.2">
      <c r="A12" s="159" t="s">
        <v>261</v>
      </c>
      <c r="B12" s="159" t="s">
        <v>496</v>
      </c>
      <c r="C12" s="159" t="s">
        <v>540</v>
      </c>
      <c r="D12" s="161"/>
      <c r="E12" s="159"/>
      <c r="F12" s="159" t="s">
        <v>249</v>
      </c>
      <c r="G12" s="159" t="s">
        <v>250</v>
      </c>
      <c r="H12" s="159" t="s">
        <v>539</v>
      </c>
      <c r="I12" s="159" t="s">
        <v>723</v>
      </c>
    </row>
    <row r="13" spans="1:9" ht="12.75" customHeight="1" x14ac:dyDescent="0.2">
      <c r="A13" s="159" t="s">
        <v>541</v>
      </c>
      <c r="B13" s="159" t="s">
        <v>265</v>
      </c>
      <c r="C13" s="159" t="s">
        <v>542</v>
      </c>
      <c r="D13" s="161">
        <v>0.6</v>
      </c>
      <c r="E13" s="159" t="s">
        <v>267</v>
      </c>
      <c r="F13" s="159" t="s">
        <v>249</v>
      </c>
      <c r="G13" s="159"/>
      <c r="H13" s="159" t="s">
        <v>543</v>
      </c>
      <c r="I13" s="159" t="s">
        <v>724</v>
      </c>
    </row>
    <row r="14" spans="1:9" ht="12.75" customHeight="1" x14ac:dyDescent="0.2">
      <c r="A14" s="159" t="s">
        <v>544</v>
      </c>
      <c r="B14" s="159" t="s">
        <v>275</v>
      </c>
      <c r="C14" s="159" t="s">
        <v>545</v>
      </c>
      <c r="D14" s="161">
        <v>0.2</v>
      </c>
      <c r="E14" s="159" t="s">
        <v>277</v>
      </c>
      <c r="F14" s="159" t="s">
        <v>249</v>
      </c>
      <c r="G14" s="159"/>
      <c r="H14" s="159" t="s">
        <v>543</v>
      </c>
      <c r="I14" s="159" t="s">
        <v>725</v>
      </c>
    </row>
    <row r="15" spans="1:9" ht="12.75" customHeight="1" x14ac:dyDescent="0.2">
      <c r="A15" s="159" t="s">
        <v>546</v>
      </c>
      <c r="B15" s="159" t="s">
        <v>270</v>
      </c>
      <c r="C15" s="159" t="s">
        <v>547</v>
      </c>
      <c r="D15" s="161">
        <v>1</v>
      </c>
      <c r="E15" s="159" t="s">
        <v>272</v>
      </c>
      <c r="F15" s="159" t="s">
        <v>249</v>
      </c>
      <c r="G15" s="159"/>
      <c r="H15" s="159" t="s">
        <v>543</v>
      </c>
      <c r="I15" s="159" t="s">
        <v>726</v>
      </c>
    </row>
    <row r="16" spans="1:9" ht="12.75" customHeight="1" x14ac:dyDescent="0.2">
      <c r="A16" s="159" t="s">
        <v>548</v>
      </c>
      <c r="B16" s="159" t="s">
        <v>280</v>
      </c>
      <c r="C16" s="159" t="s">
        <v>549</v>
      </c>
      <c r="D16" s="161">
        <v>0.4</v>
      </c>
      <c r="E16" s="159" t="s">
        <v>282</v>
      </c>
      <c r="F16" s="159" t="s">
        <v>249</v>
      </c>
      <c r="G16" s="159"/>
      <c r="H16" s="159" t="s">
        <v>543</v>
      </c>
      <c r="I16" s="159" t="s">
        <v>727</v>
      </c>
    </row>
    <row r="17" spans="1:9" ht="12.75" customHeight="1" x14ac:dyDescent="0.2">
      <c r="A17" s="159" t="s">
        <v>550</v>
      </c>
      <c r="B17" s="159" t="s">
        <v>285</v>
      </c>
      <c r="C17" s="159" t="s">
        <v>551</v>
      </c>
      <c r="D17" s="161">
        <v>0.8</v>
      </c>
      <c r="E17" s="159" t="s">
        <v>287</v>
      </c>
      <c r="F17" s="159" t="s">
        <v>249</v>
      </c>
      <c r="G17" s="159"/>
      <c r="H17" s="159" t="s">
        <v>543</v>
      </c>
      <c r="I17" s="159" t="s">
        <v>728</v>
      </c>
    </row>
    <row r="18" spans="1:9" ht="12.75" customHeight="1" x14ac:dyDescent="0.2">
      <c r="A18" s="159" t="s">
        <v>552</v>
      </c>
      <c r="B18" s="159" t="s">
        <v>290</v>
      </c>
      <c r="C18" s="159" t="s">
        <v>553</v>
      </c>
      <c r="D18" s="161">
        <v>0.4</v>
      </c>
      <c r="E18" s="159" t="s">
        <v>292</v>
      </c>
      <c r="F18" s="159" t="s">
        <v>249</v>
      </c>
      <c r="G18" s="159"/>
      <c r="H18" s="159" t="s">
        <v>543</v>
      </c>
      <c r="I18" s="159" t="s">
        <v>729</v>
      </c>
    </row>
    <row r="19" spans="1:9" ht="12.75" customHeight="1" x14ac:dyDescent="0.2">
      <c r="A19" s="159" t="s">
        <v>554</v>
      </c>
      <c r="B19" s="159" t="s">
        <v>295</v>
      </c>
      <c r="C19" s="159" t="s">
        <v>555</v>
      </c>
      <c r="D19" s="161">
        <v>1</v>
      </c>
      <c r="E19" s="159" t="s">
        <v>297</v>
      </c>
      <c r="F19" s="159" t="s">
        <v>249</v>
      </c>
      <c r="G19" s="159"/>
      <c r="H19" s="159" t="s">
        <v>543</v>
      </c>
      <c r="I19" s="159" t="s">
        <v>730</v>
      </c>
    </row>
    <row r="20" spans="1:9" ht="12.75" customHeight="1" x14ac:dyDescent="0.2">
      <c r="A20" s="159" t="s">
        <v>248</v>
      </c>
      <c r="B20" s="159" t="s">
        <v>556</v>
      </c>
      <c r="C20" s="159" t="s">
        <v>557</v>
      </c>
      <c r="D20" s="161"/>
      <c r="E20" s="159"/>
      <c r="F20" s="159" t="s">
        <v>249</v>
      </c>
      <c r="G20" s="159" t="s">
        <v>250</v>
      </c>
      <c r="H20" s="159" t="s">
        <v>539</v>
      </c>
      <c r="I20" s="159" t="s">
        <v>731</v>
      </c>
    </row>
    <row r="21" spans="1:9" ht="12.75" customHeight="1" x14ac:dyDescent="0.2">
      <c r="A21" s="159" t="s">
        <v>558</v>
      </c>
      <c r="B21" s="159" t="s">
        <v>254</v>
      </c>
      <c r="C21" s="159" t="s">
        <v>559</v>
      </c>
      <c r="D21" s="161">
        <v>0</v>
      </c>
      <c r="E21" s="159" t="s">
        <v>258</v>
      </c>
      <c r="F21" s="159" t="s">
        <v>249</v>
      </c>
      <c r="G21" s="159"/>
      <c r="H21" s="159" t="s">
        <v>543</v>
      </c>
      <c r="I21" s="159" t="s">
        <v>732</v>
      </c>
    </row>
    <row r="22" spans="1:9" ht="12.75" customHeight="1" x14ac:dyDescent="0.2">
      <c r="A22" s="159" t="s">
        <v>321</v>
      </c>
      <c r="B22" s="159" t="s">
        <v>560</v>
      </c>
      <c r="C22" s="159" t="s">
        <v>561</v>
      </c>
      <c r="D22" s="161"/>
      <c r="E22" s="159"/>
      <c r="F22" s="159" t="s">
        <v>249</v>
      </c>
      <c r="G22" s="159" t="s">
        <v>250</v>
      </c>
      <c r="H22" s="159" t="s">
        <v>539</v>
      </c>
      <c r="I22" s="159" t="s">
        <v>733</v>
      </c>
    </row>
    <row r="23" spans="1:9" ht="12.75" customHeight="1" x14ac:dyDescent="0.2">
      <c r="A23" s="159" t="s">
        <v>558</v>
      </c>
      <c r="B23" s="159" t="s">
        <v>254</v>
      </c>
      <c r="C23" s="159" t="s">
        <v>562</v>
      </c>
      <c r="D23" s="161">
        <v>0.6</v>
      </c>
      <c r="E23" s="159" t="s">
        <v>258</v>
      </c>
      <c r="F23" s="159" t="s">
        <v>249</v>
      </c>
      <c r="G23" s="159"/>
      <c r="H23" s="159" t="s">
        <v>543</v>
      </c>
      <c r="I23" s="159" t="s">
        <v>734</v>
      </c>
    </row>
    <row r="24" spans="1:9" ht="12.75" customHeight="1" x14ac:dyDescent="0.2">
      <c r="A24" s="159" t="s">
        <v>326</v>
      </c>
      <c r="B24" s="159" t="s">
        <v>563</v>
      </c>
      <c r="C24" s="159" t="s">
        <v>564</v>
      </c>
      <c r="D24" s="161"/>
      <c r="E24" s="159"/>
      <c r="F24" s="159" t="s">
        <v>249</v>
      </c>
      <c r="G24" s="159" t="s">
        <v>250</v>
      </c>
      <c r="H24" s="159" t="s">
        <v>539</v>
      </c>
      <c r="I24" s="159" t="s">
        <v>735</v>
      </c>
    </row>
    <row r="25" spans="1:9" ht="12.75" customHeight="1" x14ac:dyDescent="0.2">
      <c r="A25" s="159" t="s">
        <v>558</v>
      </c>
      <c r="B25" s="159" t="s">
        <v>254</v>
      </c>
      <c r="C25" s="159" t="s">
        <v>565</v>
      </c>
      <c r="D25" s="161">
        <v>0.2</v>
      </c>
      <c r="E25" s="159" t="s">
        <v>258</v>
      </c>
      <c r="F25" s="159" t="s">
        <v>249</v>
      </c>
      <c r="G25" s="159"/>
      <c r="H25" s="159" t="s">
        <v>543</v>
      </c>
      <c r="I25" s="159" t="s">
        <v>736</v>
      </c>
    </row>
    <row r="26" spans="1:9" ht="12.75" customHeight="1" x14ac:dyDescent="0.2">
      <c r="A26" s="159" t="s">
        <v>362</v>
      </c>
      <c r="B26" s="159" t="s">
        <v>566</v>
      </c>
      <c r="C26" s="159" t="s">
        <v>567</v>
      </c>
      <c r="D26" s="161"/>
      <c r="E26" s="159"/>
      <c r="F26" s="159" t="s">
        <v>249</v>
      </c>
      <c r="G26" s="159" t="s">
        <v>250</v>
      </c>
      <c r="H26" s="159" t="s">
        <v>539</v>
      </c>
      <c r="I26" s="159" t="s">
        <v>737</v>
      </c>
    </row>
    <row r="27" spans="1:9" ht="12.75" customHeight="1" x14ac:dyDescent="0.2">
      <c r="A27" s="159" t="s">
        <v>558</v>
      </c>
      <c r="B27" s="159" t="s">
        <v>254</v>
      </c>
      <c r="C27" s="159" t="s">
        <v>568</v>
      </c>
      <c r="D27" s="161">
        <v>0.1</v>
      </c>
      <c r="E27" s="159" t="s">
        <v>258</v>
      </c>
      <c r="F27" s="159" t="s">
        <v>249</v>
      </c>
      <c r="G27" s="159"/>
      <c r="H27" s="159" t="s">
        <v>543</v>
      </c>
      <c r="I27" s="159" t="s">
        <v>738</v>
      </c>
    </row>
    <row r="28" spans="1:9" ht="12.75" customHeight="1" x14ac:dyDescent="0.2">
      <c r="A28" s="159" t="s">
        <v>458</v>
      </c>
      <c r="B28" s="159" t="s">
        <v>569</v>
      </c>
      <c r="C28" s="159" t="s">
        <v>570</v>
      </c>
      <c r="D28" s="161"/>
      <c r="E28" s="159"/>
      <c r="F28" s="159" t="s">
        <v>249</v>
      </c>
      <c r="G28" s="159" t="s">
        <v>250</v>
      </c>
      <c r="H28" s="159" t="s">
        <v>539</v>
      </c>
      <c r="I28" s="159" t="s">
        <v>739</v>
      </c>
    </row>
    <row r="29" spans="1:9" ht="12.75" customHeight="1" x14ac:dyDescent="0.2">
      <c r="A29" s="159" t="s">
        <v>558</v>
      </c>
      <c r="B29" s="159" t="s">
        <v>254</v>
      </c>
      <c r="C29" s="159" t="s">
        <v>571</v>
      </c>
      <c r="D29" s="161">
        <v>0.1</v>
      </c>
      <c r="E29" s="159" t="s">
        <v>258</v>
      </c>
      <c r="F29" s="159" t="s">
        <v>249</v>
      </c>
      <c r="G29" s="159"/>
      <c r="H29" s="159" t="s">
        <v>543</v>
      </c>
      <c r="I29" s="159" t="s">
        <v>740</v>
      </c>
    </row>
    <row r="30" spans="1:9" ht="12.75" customHeight="1" x14ac:dyDescent="0.2">
      <c r="A30" s="159" t="s">
        <v>463</v>
      </c>
      <c r="B30" s="159" t="s">
        <v>572</v>
      </c>
      <c r="C30" s="159" t="s">
        <v>573</v>
      </c>
      <c r="D30" s="161"/>
      <c r="E30" s="159"/>
      <c r="F30" s="159" t="s">
        <v>249</v>
      </c>
      <c r="G30" s="159" t="s">
        <v>250</v>
      </c>
      <c r="H30" s="159" t="s">
        <v>539</v>
      </c>
      <c r="I30" s="159" t="s">
        <v>741</v>
      </c>
    </row>
    <row r="31" spans="1:9" ht="12.75" customHeight="1" x14ac:dyDescent="0.2">
      <c r="A31" s="159" t="s">
        <v>558</v>
      </c>
      <c r="B31" s="159" t="s">
        <v>254</v>
      </c>
      <c r="C31" s="159" t="s">
        <v>574</v>
      </c>
      <c r="D31" s="161">
        <v>0</v>
      </c>
      <c r="E31" s="159" t="s">
        <v>258</v>
      </c>
      <c r="F31" s="159" t="s">
        <v>249</v>
      </c>
      <c r="G31" s="159"/>
      <c r="H31" s="159" t="s">
        <v>543</v>
      </c>
      <c r="I31" s="159" t="s">
        <v>742</v>
      </c>
    </row>
    <row r="32" spans="1:9" ht="12.75" customHeight="1" x14ac:dyDescent="0.2">
      <c r="A32" s="159" t="s">
        <v>468</v>
      </c>
      <c r="B32" s="159" t="s">
        <v>575</v>
      </c>
      <c r="C32" s="159" t="s">
        <v>576</v>
      </c>
      <c r="D32" s="161"/>
      <c r="E32" s="159"/>
      <c r="F32" s="159" t="s">
        <v>249</v>
      </c>
      <c r="G32" s="159" t="s">
        <v>250</v>
      </c>
      <c r="H32" s="159" t="s">
        <v>539</v>
      </c>
      <c r="I32" s="159" t="s">
        <v>743</v>
      </c>
    </row>
    <row r="33" spans="1:9" ht="12.75" customHeight="1" x14ac:dyDescent="0.2">
      <c r="A33" s="159" t="s">
        <v>558</v>
      </c>
      <c r="B33" s="159" t="s">
        <v>254</v>
      </c>
      <c r="C33" s="159" t="s">
        <v>577</v>
      </c>
      <c r="D33" s="161">
        <v>0</v>
      </c>
      <c r="E33" s="159" t="s">
        <v>258</v>
      </c>
      <c r="F33" s="159" t="s">
        <v>249</v>
      </c>
      <c r="G33" s="159"/>
      <c r="H33" s="159" t="s">
        <v>543</v>
      </c>
      <c r="I33" s="159" t="s">
        <v>744</v>
      </c>
    </row>
    <row r="34" spans="1:9" ht="12.75" customHeight="1" x14ac:dyDescent="0.2">
      <c r="A34" s="159" t="s">
        <v>331</v>
      </c>
      <c r="B34" s="159" t="s">
        <v>498</v>
      </c>
      <c r="C34" s="159" t="s">
        <v>578</v>
      </c>
      <c r="D34" s="161"/>
      <c r="E34" s="159"/>
      <c r="F34" s="159" t="s">
        <v>249</v>
      </c>
      <c r="G34" s="159" t="s">
        <v>250</v>
      </c>
      <c r="H34" s="159" t="s">
        <v>539</v>
      </c>
      <c r="I34" s="159" t="s">
        <v>745</v>
      </c>
    </row>
    <row r="35" spans="1:9" ht="12.75" customHeight="1" x14ac:dyDescent="0.2">
      <c r="A35" s="159" t="s">
        <v>541</v>
      </c>
      <c r="B35" s="159" t="s">
        <v>265</v>
      </c>
      <c r="C35" s="159" t="s">
        <v>579</v>
      </c>
      <c r="D35" s="161">
        <v>0.6</v>
      </c>
      <c r="E35" s="159" t="s">
        <v>267</v>
      </c>
      <c r="F35" s="159" t="s">
        <v>249</v>
      </c>
      <c r="G35" s="159"/>
      <c r="H35" s="159" t="s">
        <v>543</v>
      </c>
      <c r="I35" s="159" t="s">
        <v>746</v>
      </c>
    </row>
    <row r="36" spans="1:9" ht="12.75" customHeight="1" x14ac:dyDescent="0.2">
      <c r="A36" s="159" t="s">
        <v>544</v>
      </c>
      <c r="B36" s="159" t="s">
        <v>275</v>
      </c>
      <c r="C36" s="159" t="s">
        <v>580</v>
      </c>
      <c r="D36" s="161">
        <v>0.2</v>
      </c>
      <c r="E36" s="159" t="s">
        <v>277</v>
      </c>
      <c r="F36" s="159" t="s">
        <v>249</v>
      </c>
      <c r="G36" s="159"/>
      <c r="H36" s="159" t="s">
        <v>543</v>
      </c>
      <c r="I36" s="159" t="s">
        <v>747</v>
      </c>
    </row>
    <row r="37" spans="1:9" ht="12.75" customHeight="1" x14ac:dyDescent="0.2">
      <c r="A37" s="159" t="s">
        <v>546</v>
      </c>
      <c r="B37" s="159" t="s">
        <v>270</v>
      </c>
      <c r="C37" s="159" t="s">
        <v>581</v>
      </c>
      <c r="D37" s="161">
        <v>0.8</v>
      </c>
      <c r="E37" s="159" t="s">
        <v>272</v>
      </c>
      <c r="F37" s="159" t="s">
        <v>249</v>
      </c>
      <c r="G37" s="159"/>
      <c r="H37" s="159" t="s">
        <v>543</v>
      </c>
      <c r="I37" s="159" t="s">
        <v>748</v>
      </c>
    </row>
    <row r="38" spans="1:9" ht="12.75" customHeight="1" x14ac:dyDescent="0.2">
      <c r="A38" s="159" t="s">
        <v>548</v>
      </c>
      <c r="B38" s="159" t="s">
        <v>280</v>
      </c>
      <c r="C38" s="159" t="s">
        <v>582</v>
      </c>
      <c r="D38" s="161">
        <v>0.4</v>
      </c>
      <c r="E38" s="159" t="s">
        <v>282</v>
      </c>
      <c r="F38" s="159" t="s">
        <v>249</v>
      </c>
      <c r="G38" s="159"/>
      <c r="H38" s="159" t="s">
        <v>543</v>
      </c>
      <c r="I38" s="159" t="s">
        <v>749</v>
      </c>
    </row>
    <row r="39" spans="1:9" ht="12.75" customHeight="1" x14ac:dyDescent="0.2">
      <c r="A39" s="159" t="s">
        <v>550</v>
      </c>
      <c r="B39" s="159" t="s">
        <v>285</v>
      </c>
      <c r="C39" s="159" t="s">
        <v>583</v>
      </c>
      <c r="D39" s="161">
        <v>0.2</v>
      </c>
      <c r="E39" s="159" t="s">
        <v>287</v>
      </c>
      <c r="F39" s="159" t="s">
        <v>249</v>
      </c>
      <c r="G39" s="159"/>
      <c r="H39" s="159" t="s">
        <v>543</v>
      </c>
      <c r="I39" s="159" t="s">
        <v>750</v>
      </c>
    </row>
    <row r="40" spans="1:9" ht="12.75" customHeight="1" x14ac:dyDescent="0.2">
      <c r="A40" s="159" t="s">
        <v>552</v>
      </c>
      <c r="B40" s="159" t="s">
        <v>290</v>
      </c>
      <c r="C40" s="159" t="s">
        <v>584</v>
      </c>
      <c r="D40" s="161">
        <v>0.4</v>
      </c>
      <c r="E40" s="159" t="s">
        <v>292</v>
      </c>
      <c r="F40" s="159" t="s">
        <v>249</v>
      </c>
      <c r="G40" s="159"/>
      <c r="H40" s="159" t="s">
        <v>543</v>
      </c>
      <c r="I40" s="159" t="s">
        <v>751</v>
      </c>
    </row>
    <row r="41" spans="1:9" ht="12.75" customHeight="1" x14ac:dyDescent="0.2">
      <c r="A41" s="159" t="s">
        <v>554</v>
      </c>
      <c r="B41" s="159" t="s">
        <v>295</v>
      </c>
      <c r="C41" s="159" t="s">
        <v>585</v>
      </c>
      <c r="D41" s="161">
        <v>0.4</v>
      </c>
      <c r="E41" s="159" t="s">
        <v>297</v>
      </c>
      <c r="F41" s="159" t="s">
        <v>249</v>
      </c>
      <c r="G41" s="159"/>
      <c r="H41" s="159" t="s">
        <v>543</v>
      </c>
      <c r="I41" s="159" t="s">
        <v>752</v>
      </c>
    </row>
    <row r="42" spans="1:9" ht="12.75" customHeight="1" x14ac:dyDescent="0.2">
      <c r="A42" s="159" t="s">
        <v>248</v>
      </c>
      <c r="B42" s="159" t="s">
        <v>586</v>
      </c>
      <c r="C42" s="159" t="s">
        <v>587</v>
      </c>
      <c r="D42" s="161"/>
      <c r="E42" s="159"/>
      <c r="F42" s="159" t="s">
        <v>249</v>
      </c>
      <c r="G42" s="159" t="s">
        <v>250</v>
      </c>
      <c r="H42" s="159" t="s">
        <v>539</v>
      </c>
      <c r="I42" s="159" t="s">
        <v>753</v>
      </c>
    </row>
    <row r="43" spans="1:9" ht="12.75" customHeight="1" x14ac:dyDescent="0.2">
      <c r="A43" s="159" t="s">
        <v>558</v>
      </c>
      <c r="B43" s="159" t="s">
        <v>254</v>
      </c>
      <c r="C43" s="159" t="s">
        <v>588</v>
      </c>
      <c r="D43" s="161">
        <v>0</v>
      </c>
      <c r="E43" s="159" t="s">
        <v>258</v>
      </c>
      <c r="F43" s="159" t="s">
        <v>249</v>
      </c>
      <c r="G43" s="159"/>
      <c r="H43" s="159" t="s">
        <v>543</v>
      </c>
      <c r="I43" s="159" t="s">
        <v>754</v>
      </c>
    </row>
    <row r="44" spans="1:9" ht="12.75" customHeight="1" x14ac:dyDescent="0.2">
      <c r="A44" s="159" t="s">
        <v>321</v>
      </c>
      <c r="B44" s="159" t="s">
        <v>589</v>
      </c>
      <c r="C44" s="159" t="s">
        <v>590</v>
      </c>
      <c r="D44" s="161"/>
      <c r="E44" s="159"/>
      <c r="F44" s="159" t="s">
        <v>249</v>
      </c>
      <c r="G44" s="159" t="s">
        <v>250</v>
      </c>
      <c r="H44" s="159" t="s">
        <v>539</v>
      </c>
      <c r="I44" s="159" t="s">
        <v>755</v>
      </c>
    </row>
    <row r="45" spans="1:9" ht="12.75" customHeight="1" x14ac:dyDescent="0.2">
      <c r="A45" s="159" t="s">
        <v>558</v>
      </c>
      <c r="B45" s="159" t="s">
        <v>254</v>
      </c>
      <c r="C45" s="159" t="s">
        <v>591</v>
      </c>
      <c r="D45" s="161">
        <v>0</v>
      </c>
      <c r="E45" s="159" t="s">
        <v>258</v>
      </c>
      <c r="F45" s="159" t="s">
        <v>249</v>
      </c>
      <c r="G45" s="159"/>
      <c r="H45" s="159" t="s">
        <v>543</v>
      </c>
      <c r="I45" s="159" t="s">
        <v>756</v>
      </c>
    </row>
    <row r="46" spans="1:9" ht="12.75" customHeight="1" x14ac:dyDescent="0.2">
      <c r="A46" s="159" t="s">
        <v>326</v>
      </c>
      <c r="B46" s="159" t="s">
        <v>592</v>
      </c>
      <c r="C46" s="159" t="s">
        <v>593</v>
      </c>
      <c r="D46" s="161"/>
      <c r="E46" s="159"/>
      <c r="F46" s="159" t="s">
        <v>249</v>
      </c>
      <c r="G46" s="159" t="s">
        <v>250</v>
      </c>
      <c r="H46" s="159" t="s">
        <v>539</v>
      </c>
      <c r="I46" s="159" t="s">
        <v>757</v>
      </c>
    </row>
    <row r="47" spans="1:9" ht="12.75" customHeight="1" x14ac:dyDescent="0.2">
      <c r="A47" s="159" t="s">
        <v>558</v>
      </c>
      <c r="B47" s="159" t="s">
        <v>254</v>
      </c>
      <c r="C47" s="159" t="s">
        <v>594</v>
      </c>
      <c r="D47" s="161">
        <v>0.1</v>
      </c>
      <c r="E47" s="159" t="s">
        <v>258</v>
      </c>
      <c r="F47" s="159" t="s">
        <v>249</v>
      </c>
      <c r="G47" s="159"/>
      <c r="H47" s="159" t="s">
        <v>543</v>
      </c>
      <c r="I47" s="159" t="s">
        <v>758</v>
      </c>
    </row>
    <row r="48" spans="1:9" ht="12.75" customHeight="1" x14ac:dyDescent="0.2">
      <c r="A48" s="159" t="s">
        <v>362</v>
      </c>
      <c r="B48" s="159" t="s">
        <v>595</v>
      </c>
      <c r="C48" s="159" t="s">
        <v>596</v>
      </c>
      <c r="D48" s="161"/>
      <c r="E48" s="159"/>
      <c r="F48" s="159" t="s">
        <v>249</v>
      </c>
      <c r="G48" s="159" t="s">
        <v>250</v>
      </c>
      <c r="H48" s="159" t="s">
        <v>539</v>
      </c>
      <c r="I48" s="159" t="s">
        <v>759</v>
      </c>
    </row>
    <row r="49" spans="1:9" ht="12.75" customHeight="1" x14ac:dyDescent="0.2">
      <c r="A49" s="159" t="s">
        <v>558</v>
      </c>
      <c r="B49" s="159" t="s">
        <v>254</v>
      </c>
      <c r="C49" s="159" t="s">
        <v>597</v>
      </c>
      <c r="D49" s="161">
        <v>0.7</v>
      </c>
      <c r="E49" s="159" t="s">
        <v>258</v>
      </c>
      <c r="F49" s="159" t="s">
        <v>249</v>
      </c>
      <c r="G49" s="159"/>
      <c r="H49" s="159" t="s">
        <v>543</v>
      </c>
      <c r="I49" s="159" t="s">
        <v>760</v>
      </c>
    </row>
    <row r="50" spans="1:9" ht="12.75" customHeight="1" x14ac:dyDescent="0.2">
      <c r="A50" s="159" t="s">
        <v>458</v>
      </c>
      <c r="B50" s="159" t="s">
        <v>598</v>
      </c>
      <c r="C50" s="159" t="s">
        <v>599</v>
      </c>
      <c r="D50" s="161"/>
      <c r="E50" s="159"/>
      <c r="F50" s="159" t="s">
        <v>249</v>
      </c>
      <c r="G50" s="159" t="s">
        <v>250</v>
      </c>
      <c r="H50" s="159" t="s">
        <v>539</v>
      </c>
      <c r="I50" s="159" t="s">
        <v>761</v>
      </c>
    </row>
    <row r="51" spans="1:9" ht="12.75" customHeight="1" x14ac:dyDescent="0.2">
      <c r="A51" s="159" t="s">
        <v>558</v>
      </c>
      <c r="B51" s="159" t="s">
        <v>254</v>
      </c>
      <c r="C51" s="159" t="s">
        <v>600</v>
      </c>
      <c r="D51" s="161">
        <v>0</v>
      </c>
      <c r="E51" s="159" t="s">
        <v>258</v>
      </c>
      <c r="F51" s="159" t="s">
        <v>249</v>
      </c>
      <c r="G51" s="159"/>
      <c r="H51" s="159" t="s">
        <v>543</v>
      </c>
      <c r="I51" s="159" t="s">
        <v>762</v>
      </c>
    </row>
    <row r="52" spans="1:9" ht="12.75" customHeight="1" x14ac:dyDescent="0.2">
      <c r="A52" s="159" t="s">
        <v>463</v>
      </c>
      <c r="B52" s="159" t="s">
        <v>601</v>
      </c>
      <c r="C52" s="159" t="s">
        <v>602</v>
      </c>
      <c r="D52" s="161"/>
      <c r="E52" s="159"/>
      <c r="F52" s="159" t="s">
        <v>249</v>
      </c>
      <c r="G52" s="159" t="s">
        <v>250</v>
      </c>
      <c r="H52" s="159" t="s">
        <v>539</v>
      </c>
      <c r="I52" s="159" t="s">
        <v>763</v>
      </c>
    </row>
    <row r="53" spans="1:9" ht="12.75" customHeight="1" x14ac:dyDescent="0.2">
      <c r="A53" s="159" t="s">
        <v>558</v>
      </c>
      <c r="B53" s="159" t="s">
        <v>254</v>
      </c>
      <c r="C53" s="159" t="s">
        <v>603</v>
      </c>
      <c r="D53" s="161">
        <v>0.2</v>
      </c>
      <c r="E53" s="159" t="s">
        <v>258</v>
      </c>
      <c r="F53" s="159" t="s">
        <v>249</v>
      </c>
      <c r="G53" s="159"/>
      <c r="H53" s="159" t="s">
        <v>543</v>
      </c>
      <c r="I53" s="159" t="s">
        <v>764</v>
      </c>
    </row>
    <row r="54" spans="1:9" ht="12.75" customHeight="1" x14ac:dyDescent="0.2">
      <c r="A54" s="159" t="s">
        <v>468</v>
      </c>
      <c r="B54" s="159" t="s">
        <v>604</v>
      </c>
      <c r="C54" s="159" t="s">
        <v>605</v>
      </c>
      <c r="D54" s="161"/>
      <c r="E54" s="159"/>
      <c r="F54" s="159" t="s">
        <v>249</v>
      </c>
      <c r="G54" s="159" t="s">
        <v>250</v>
      </c>
      <c r="H54" s="159" t="s">
        <v>539</v>
      </c>
      <c r="I54" s="159" t="s">
        <v>765</v>
      </c>
    </row>
    <row r="55" spans="1:9" ht="12.75" customHeight="1" x14ac:dyDescent="0.2">
      <c r="A55" s="159" t="s">
        <v>558</v>
      </c>
      <c r="B55" s="159" t="s">
        <v>254</v>
      </c>
      <c r="C55" s="159" t="s">
        <v>606</v>
      </c>
      <c r="D55" s="161">
        <v>0</v>
      </c>
      <c r="E55" s="159" t="s">
        <v>258</v>
      </c>
      <c r="F55" s="159" t="s">
        <v>249</v>
      </c>
      <c r="G55" s="159"/>
      <c r="H55" s="159" t="s">
        <v>543</v>
      </c>
      <c r="I55" s="159" t="s">
        <v>766</v>
      </c>
    </row>
    <row r="56" spans="1:9" ht="12.75" customHeight="1" x14ac:dyDescent="0.2">
      <c r="A56" s="159" t="s">
        <v>366</v>
      </c>
      <c r="B56" s="159" t="s">
        <v>501</v>
      </c>
      <c r="C56" s="159" t="s">
        <v>607</v>
      </c>
      <c r="D56" s="161"/>
      <c r="E56" s="159"/>
      <c r="F56" s="159" t="s">
        <v>249</v>
      </c>
      <c r="G56" s="159" t="s">
        <v>250</v>
      </c>
      <c r="H56" s="159" t="s">
        <v>539</v>
      </c>
      <c r="I56" s="159" t="s">
        <v>767</v>
      </c>
    </row>
    <row r="57" spans="1:9" ht="12.75" customHeight="1" x14ac:dyDescent="0.2">
      <c r="A57" s="159" t="s">
        <v>541</v>
      </c>
      <c r="B57" s="159" t="s">
        <v>265</v>
      </c>
      <c r="C57" s="159" t="s">
        <v>608</v>
      </c>
      <c r="D57" s="161">
        <v>0.6</v>
      </c>
      <c r="E57" s="159" t="s">
        <v>267</v>
      </c>
      <c r="F57" s="159" t="s">
        <v>249</v>
      </c>
      <c r="G57" s="159"/>
      <c r="H57" s="159" t="s">
        <v>543</v>
      </c>
      <c r="I57" s="159" t="s">
        <v>768</v>
      </c>
    </row>
    <row r="58" spans="1:9" ht="12.75" customHeight="1" x14ac:dyDescent="0.2">
      <c r="A58" s="159" t="s">
        <v>544</v>
      </c>
      <c r="B58" s="159" t="s">
        <v>275</v>
      </c>
      <c r="C58" s="159" t="s">
        <v>609</v>
      </c>
      <c r="D58" s="161">
        <v>0.2</v>
      </c>
      <c r="E58" s="159" t="s">
        <v>277</v>
      </c>
      <c r="F58" s="159" t="s">
        <v>249</v>
      </c>
      <c r="G58" s="159"/>
      <c r="H58" s="159" t="s">
        <v>543</v>
      </c>
      <c r="I58" s="159" t="s">
        <v>769</v>
      </c>
    </row>
    <row r="59" spans="1:9" ht="12.75" customHeight="1" x14ac:dyDescent="0.2">
      <c r="A59" s="159" t="s">
        <v>546</v>
      </c>
      <c r="B59" s="159" t="s">
        <v>270</v>
      </c>
      <c r="C59" s="159" t="s">
        <v>610</v>
      </c>
      <c r="D59" s="161">
        <v>0.8</v>
      </c>
      <c r="E59" s="159" t="s">
        <v>272</v>
      </c>
      <c r="F59" s="159" t="s">
        <v>249</v>
      </c>
      <c r="G59" s="159"/>
      <c r="H59" s="159" t="s">
        <v>543</v>
      </c>
      <c r="I59" s="159" t="s">
        <v>770</v>
      </c>
    </row>
    <row r="60" spans="1:9" ht="12.75" customHeight="1" x14ac:dyDescent="0.2">
      <c r="A60" s="159" t="s">
        <v>548</v>
      </c>
      <c r="B60" s="159" t="s">
        <v>280</v>
      </c>
      <c r="C60" s="159" t="s">
        <v>611</v>
      </c>
      <c r="D60" s="161">
        <v>0.4</v>
      </c>
      <c r="E60" s="159" t="s">
        <v>282</v>
      </c>
      <c r="F60" s="159" t="s">
        <v>249</v>
      </c>
      <c r="G60" s="159"/>
      <c r="H60" s="159" t="s">
        <v>543</v>
      </c>
      <c r="I60" s="159" t="s">
        <v>771</v>
      </c>
    </row>
    <row r="61" spans="1:9" ht="12.75" customHeight="1" x14ac:dyDescent="0.2">
      <c r="A61" s="159" t="s">
        <v>550</v>
      </c>
      <c r="B61" s="159" t="s">
        <v>285</v>
      </c>
      <c r="C61" s="159" t="s">
        <v>612</v>
      </c>
      <c r="D61" s="161">
        <v>0.4</v>
      </c>
      <c r="E61" s="159" t="s">
        <v>287</v>
      </c>
      <c r="F61" s="159" t="s">
        <v>249</v>
      </c>
      <c r="G61" s="159"/>
      <c r="H61" s="159" t="s">
        <v>543</v>
      </c>
      <c r="I61" s="159" t="s">
        <v>772</v>
      </c>
    </row>
    <row r="62" spans="1:9" ht="12.75" customHeight="1" x14ac:dyDescent="0.2">
      <c r="A62" s="159" t="s">
        <v>552</v>
      </c>
      <c r="B62" s="159" t="s">
        <v>290</v>
      </c>
      <c r="C62" s="159" t="s">
        <v>613</v>
      </c>
      <c r="D62" s="161">
        <v>0.4</v>
      </c>
      <c r="E62" s="159" t="s">
        <v>292</v>
      </c>
      <c r="F62" s="159" t="s">
        <v>249</v>
      </c>
      <c r="G62" s="159"/>
      <c r="H62" s="159" t="s">
        <v>543</v>
      </c>
      <c r="I62" s="159" t="s">
        <v>773</v>
      </c>
    </row>
    <row r="63" spans="1:9" ht="12.75" customHeight="1" x14ac:dyDescent="0.2">
      <c r="A63" s="159" t="s">
        <v>554</v>
      </c>
      <c r="B63" s="159" t="s">
        <v>295</v>
      </c>
      <c r="C63" s="159" t="s">
        <v>614</v>
      </c>
      <c r="D63" s="161">
        <v>0.8</v>
      </c>
      <c r="E63" s="159" t="s">
        <v>297</v>
      </c>
      <c r="F63" s="159" t="s">
        <v>249</v>
      </c>
      <c r="G63" s="159"/>
      <c r="H63" s="159" t="s">
        <v>543</v>
      </c>
      <c r="I63" s="159" t="s">
        <v>774</v>
      </c>
    </row>
    <row r="64" spans="1:9" ht="12.75" customHeight="1" x14ac:dyDescent="0.2">
      <c r="A64" s="159" t="s">
        <v>248</v>
      </c>
      <c r="B64" s="159" t="s">
        <v>615</v>
      </c>
      <c r="C64" s="159" t="s">
        <v>616</v>
      </c>
      <c r="D64" s="161"/>
      <c r="E64" s="159"/>
      <c r="F64" s="159" t="s">
        <v>249</v>
      </c>
      <c r="G64" s="159" t="s">
        <v>250</v>
      </c>
      <c r="H64" s="159" t="s">
        <v>539</v>
      </c>
      <c r="I64" s="159" t="s">
        <v>775</v>
      </c>
    </row>
    <row r="65" spans="1:9" ht="12.75" customHeight="1" x14ac:dyDescent="0.2">
      <c r="A65" s="159" t="s">
        <v>558</v>
      </c>
      <c r="B65" s="159" t="s">
        <v>254</v>
      </c>
      <c r="C65" s="159" t="s">
        <v>617</v>
      </c>
      <c r="D65" s="161">
        <v>0.1</v>
      </c>
      <c r="E65" s="159" t="s">
        <v>258</v>
      </c>
      <c r="F65" s="159" t="s">
        <v>249</v>
      </c>
      <c r="G65" s="159"/>
      <c r="H65" s="159" t="s">
        <v>543</v>
      </c>
      <c r="I65" s="159" t="s">
        <v>776</v>
      </c>
    </row>
    <row r="66" spans="1:9" ht="12.75" customHeight="1" x14ac:dyDescent="0.2">
      <c r="A66" s="159" t="s">
        <v>321</v>
      </c>
      <c r="B66" s="159" t="s">
        <v>618</v>
      </c>
      <c r="C66" s="159" t="s">
        <v>619</v>
      </c>
      <c r="D66" s="161"/>
      <c r="E66" s="159"/>
      <c r="F66" s="159" t="s">
        <v>249</v>
      </c>
      <c r="G66" s="159" t="s">
        <v>250</v>
      </c>
      <c r="H66" s="159" t="s">
        <v>539</v>
      </c>
      <c r="I66" s="159" t="s">
        <v>777</v>
      </c>
    </row>
    <row r="67" spans="1:9" ht="12.75" customHeight="1" x14ac:dyDescent="0.2">
      <c r="A67" s="159" t="s">
        <v>558</v>
      </c>
      <c r="B67" s="159" t="s">
        <v>254</v>
      </c>
      <c r="C67" s="159" t="s">
        <v>620</v>
      </c>
      <c r="D67" s="161">
        <v>0.3</v>
      </c>
      <c r="E67" s="159" t="s">
        <v>258</v>
      </c>
      <c r="F67" s="159" t="s">
        <v>249</v>
      </c>
      <c r="G67" s="159"/>
      <c r="H67" s="159" t="s">
        <v>543</v>
      </c>
      <c r="I67" s="159" t="s">
        <v>778</v>
      </c>
    </row>
    <row r="68" spans="1:9" ht="12.75" customHeight="1" x14ac:dyDescent="0.2">
      <c r="A68" s="159" t="s">
        <v>326</v>
      </c>
      <c r="B68" s="159" t="s">
        <v>621</v>
      </c>
      <c r="C68" s="159" t="s">
        <v>622</v>
      </c>
      <c r="D68" s="161"/>
      <c r="E68" s="159"/>
      <c r="F68" s="159" t="s">
        <v>249</v>
      </c>
      <c r="G68" s="159" t="s">
        <v>250</v>
      </c>
      <c r="H68" s="159" t="s">
        <v>539</v>
      </c>
      <c r="I68" s="159" t="s">
        <v>779</v>
      </c>
    </row>
    <row r="69" spans="1:9" ht="12.75" customHeight="1" x14ac:dyDescent="0.2">
      <c r="A69" s="159" t="s">
        <v>558</v>
      </c>
      <c r="B69" s="159" t="s">
        <v>254</v>
      </c>
      <c r="C69" s="159" t="s">
        <v>623</v>
      </c>
      <c r="D69" s="161">
        <v>0.2</v>
      </c>
      <c r="E69" s="159" t="s">
        <v>258</v>
      </c>
      <c r="F69" s="159" t="s">
        <v>249</v>
      </c>
      <c r="G69" s="159"/>
      <c r="H69" s="159" t="s">
        <v>543</v>
      </c>
      <c r="I69" s="159" t="s">
        <v>780</v>
      </c>
    </row>
    <row r="70" spans="1:9" ht="12.75" customHeight="1" x14ac:dyDescent="0.2">
      <c r="A70" s="159" t="s">
        <v>362</v>
      </c>
      <c r="B70" s="159" t="s">
        <v>624</v>
      </c>
      <c r="C70" s="159" t="s">
        <v>625</v>
      </c>
      <c r="D70" s="161"/>
      <c r="E70" s="159"/>
      <c r="F70" s="159" t="s">
        <v>249</v>
      </c>
      <c r="G70" s="159" t="s">
        <v>250</v>
      </c>
      <c r="H70" s="159" t="s">
        <v>539</v>
      </c>
      <c r="I70" s="159" t="s">
        <v>781</v>
      </c>
    </row>
    <row r="71" spans="1:9" ht="12.75" customHeight="1" x14ac:dyDescent="0.2">
      <c r="A71" s="159" t="s">
        <v>558</v>
      </c>
      <c r="B71" s="159" t="s">
        <v>254</v>
      </c>
      <c r="C71" s="159" t="s">
        <v>626</v>
      </c>
      <c r="D71" s="161">
        <v>0.3</v>
      </c>
      <c r="E71" s="159" t="s">
        <v>258</v>
      </c>
      <c r="F71" s="159" t="s">
        <v>249</v>
      </c>
      <c r="G71" s="159"/>
      <c r="H71" s="159" t="s">
        <v>543</v>
      </c>
      <c r="I71" s="159" t="s">
        <v>782</v>
      </c>
    </row>
    <row r="72" spans="1:9" ht="12.75" customHeight="1" x14ac:dyDescent="0.2">
      <c r="A72" s="159" t="s">
        <v>458</v>
      </c>
      <c r="B72" s="159" t="s">
        <v>627</v>
      </c>
      <c r="C72" s="159" t="s">
        <v>628</v>
      </c>
      <c r="D72" s="161"/>
      <c r="E72" s="159"/>
      <c r="F72" s="159" t="s">
        <v>249</v>
      </c>
      <c r="G72" s="159" t="s">
        <v>250</v>
      </c>
      <c r="H72" s="159" t="s">
        <v>539</v>
      </c>
      <c r="I72" s="159" t="s">
        <v>783</v>
      </c>
    </row>
    <row r="73" spans="1:9" ht="12.75" customHeight="1" x14ac:dyDescent="0.2">
      <c r="A73" s="159" t="s">
        <v>558</v>
      </c>
      <c r="B73" s="159" t="s">
        <v>254</v>
      </c>
      <c r="C73" s="159" t="s">
        <v>629</v>
      </c>
      <c r="D73" s="161">
        <v>0</v>
      </c>
      <c r="E73" s="159" t="s">
        <v>258</v>
      </c>
      <c r="F73" s="159" t="s">
        <v>249</v>
      </c>
      <c r="G73" s="159"/>
      <c r="H73" s="159" t="s">
        <v>543</v>
      </c>
      <c r="I73" s="159" t="s">
        <v>784</v>
      </c>
    </row>
    <row r="74" spans="1:9" ht="12.75" customHeight="1" x14ac:dyDescent="0.2">
      <c r="A74" s="159" t="s">
        <v>463</v>
      </c>
      <c r="B74" s="159" t="s">
        <v>630</v>
      </c>
      <c r="C74" s="159" t="s">
        <v>631</v>
      </c>
      <c r="D74" s="161"/>
      <c r="E74" s="159"/>
      <c r="F74" s="159" t="s">
        <v>249</v>
      </c>
      <c r="G74" s="159" t="s">
        <v>250</v>
      </c>
      <c r="H74" s="159" t="s">
        <v>539</v>
      </c>
      <c r="I74" s="159" t="s">
        <v>785</v>
      </c>
    </row>
    <row r="75" spans="1:9" ht="12.75" customHeight="1" x14ac:dyDescent="0.2">
      <c r="A75" s="159" t="s">
        <v>558</v>
      </c>
      <c r="B75" s="159" t="s">
        <v>254</v>
      </c>
      <c r="C75" s="159" t="s">
        <v>632</v>
      </c>
      <c r="D75" s="161">
        <v>0</v>
      </c>
      <c r="E75" s="159" t="s">
        <v>258</v>
      </c>
      <c r="F75" s="159" t="s">
        <v>249</v>
      </c>
      <c r="G75" s="159"/>
      <c r="H75" s="159" t="s">
        <v>543</v>
      </c>
      <c r="I75" s="159" t="s">
        <v>786</v>
      </c>
    </row>
    <row r="76" spans="1:9" ht="12.75" customHeight="1" x14ac:dyDescent="0.2">
      <c r="A76" s="159" t="s">
        <v>468</v>
      </c>
      <c r="B76" s="159" t="s">
        <v>633</v>
      </c>
      <c r="C76" s="159" t="s">
        <v>634</v>
      </c>
      <c r="D76" s="161"/>
      <c r="E76" s="159"/>
      <c r="F76" s="159" t="s">
        <v>249</v>
      </c>
      <c r="G76" s="159" t="s">
        <v>250</v>
      </c>
      <c r="H76" s="159" t="s">
        <v>539</v>
      </c>
      <c r="I76" s="159" t="s">
        <v>787</v>
      </c>
    </row>
    <row r="77" spans="1:9" ht="12.75" customHeight="1" x14ac:dyDescent="0.2">
      <c r="A77" s="159" t="s">
        <v>558</v>
      </c>
      <c r="B77" s="159" t="s">
        <v>254</v>
      </c>
      <c r="C77" s="159" t="s">
        <v>635</v>
      </c>
      <c r="D77" s="161">
        <v>0.1</v>
      </c>
      <c r="E77" s="159" t="s">
        <v>258</v>
      </c>
      <c r="F77" s="159" t="s">
        <v>249</v>
      </c>
      <c r="G77" s="159"/>
      <c r="H77" s="159" t="s">
        <v>543</v>
      </c>
      <c r="I77" s="159" t="s">
        <v>788</v>
      </c>
    </row>
    <row r="78" spans="1:9" ht="12.75" customHeight="1" x14ac:dyDescent="0.2">
      <c r="A78" s="159" t="s">
        <v>397</v>
      </c>
      <c r="B78" s="159" t="s">
        <v>504</v>
      </c>
      <c r="C78" s="159" t="s">
        <v>636</v>
      </c>
      <c r="D78" s="161"/>
      <c r="E78" s="159"/>
      <c r="F78" s="159" t="s">
        <v>249</v>
      </c>
      <c r="G78" s="159" t="s">
        <v>250</v>
      </c>
      <c r="H78" s="159" t="s">
        <v>539</v>
      </c>
      <c r="I78" s="159" t="s">
        <v>789</v>
      </c>
    </row>
    <row r="79" spans="1:9" ht="12.75" customHeight="1" x14ac:dyDescent="0.2">
      <c r="A79" s="159" t="s">
        <v>541</v>
      </c>
      <c r="B79" s="159" t="s">
        <v>265</v>
      </c>
      <c r="C79" s="159" t="s">
        <v>637</v>
      </c>
      <c r="D79" s="161">
        <v>0.6</v>
      </c>
      <c r="E79" s="159" t="s">
        <v>267</v>
      </c>
      <c r="F79" s="159" t="s">
        <v>249</v>
      </c>
      <c r="G79" s="159"/>
      <c r="H79" s="159" t="s">
        <v>543</v>
      </c>
      <c r="I79" s="159" t="s">
        <v>790</v>
      </c>
    </row>
    <row r="80" spans="1:9" ht="12.75" customHeight="1" x14ac:dyDescent="0.2">
      <c r="A80" s="159" t="s">
        <v>544</v>
      </c>
      <c r="B80" s="159" t="s">
        <v>275</v>
      </c>
      <c r="C80" s="159" t="s">
        <v>638</v>
      </c>
      <c r="D80" s="161">
        <v>0.2</v>
      </c>
      <c r="E80" s="159" t="s">
        <v>277</v>
      </c>
      <c r="F80" s="159" t="s">
        <v>249</v>
      </c>
      <c r="G80" s="159"/>
      <c r="H80" s="159" t="s">
        <v>543</v>
      </c>
      <c r="I80" s="159" t="s">
        <v>791</v>
      </c>
    </row>
    <row r="81" spans="1:9" ht="12.75" customHeight="1" x14ac:dyDescent="0.2">
      <c r="A81" s="159" t="s">
        <v>546</v>
      </c>
      <c r="B81" s="159" t="s">
        <v>270</v>
      </c>
      <c r="C81" s="159" t="s">
        <v>639</v>
      </c>
      <c r="D81" s="161">
        <v>0.8</v>
      </c>
      <c r="E81" s="159" t="s">
        <v>272</v>
      </c>
      <c r="F81" s="159" t="s">
        <v>249</v>
      </c>
      <c r="G81" s="159"/>
      <c r="H81" s="159" t="s">
        <v>543</v>
      </c>
      <c r="I81" s="159" t="s">
        <v>792</v>
      </c>
    </row>
    <row r="82" spans="1:9" ht="12.75" customHeight="1" x14ac:dyDescent="0.2">
      <c r="A82" s="159" t="s">
        <v>548</v>
      </c>
      <c r="B82" s="159" t="s">
        <v>280</v>
      </c>
      <c r="C82" s="159" t="s">
        <v>640</v>
      </c>
      <c r="D82" s="161">
        <v>0.4</v>
      </c>
      <c r="E82" s="159" t="s">
        <v>282</v>
      </c>
      <c r="F82" s="159" t="s">
        <v>249</v>
      </c>
      <c r="G82" s="159"/>
      <c r="H82" s="159" t="s">
        <v>543</v>
      </c>
      <c r="I82" s="159" t="s">
        <v>793</v>
      </c>
    </row>
    <row r="83" spans="1:9" ht="12.75" customHeight="1" x14ac:dyDescent="0.2">
      <c r="A83" s="159" t="s">
        <v>550</v>
      </c>
      <c r="B83" s="159" t="s">
        <v>285</v>
      </c>
      <c r="C83" s="159" t="s">
        <v>641</v>
      </c>
      <c r="D83" s="161">
        <v>0.4</v>
      </c>
      <c r="E83" s="159" t="s">
        <v>287</v>
      </c>
      <c r="F83" s="159" t="s">
        <v>249</v>
      </c>
      <c r="G83" s="159"/>
      <c r="H83" s="159" t="s">
        <v>543</v>
      </c>
      <c r="I83" s="159" t="s">
        <v>794</v>
      </c>
    </row>
    <row r="84" spans="1:9" ht="12.75" customHeight="1" x14ac:dyDescent="0.2">
      <c r="A84" s="159" t="s">
        <v>552</v>
      </c>
      <c r="B84" s="159" t="s">
        <v>290</v>
      </c>
      <c r="C84" s="159" t="s">
        <v>642</v>
      </c>
      <c r="D84" s="161">
        <v>0.4</v>
      </c>
      <c r="E84" s="159" t="s">
        <v>292</v>
      </c>
      <c r="F84" s="159" t="s">
        <v>249</v>
      </c>
      <c r="G84" s="159"/>
      <c r="H84" s="159" t="s">
        <v>543</v>
      </c>
      <c r="I84" s="159" t="s">
        <v>795</v>
      </c>
    </row>
    <row r="85" spans="1:9" ht="12.75" customHeight="1" x14ac:dyDescent="0.2">
      <c r="A85" s="159" t="s">
        <v>554</v>
      </c>
      <c r="B85" s="159" t="s">
        <v>295</v>
      </c>
      <c r="C85" s="159" t="s">
        <v>643</v>
      </c>
      <c r="D85" s="161">
        <v>0.6</v>
      </c>
      <c r="E85" s="159" t="s">
        <v>297</v>
      </c>
      <c r="F85" s="159" t="s">
        <v>249</v>
      </c>
      <c r="G85" s="159"/>
      <c r="H85" s="159" t="s">
        <v>543</v>
      </c>
      <c r="I85" s="159" t="s">
        <v>796</v>
      </c>
    </row>
    <row r="86" spans="1:9" ht="12.75" customHeight="1" x14ac:dyDescent="0.2">
      <c r="A86" s="159" t="s">
        <v>248</v>
      </c>
      <c r="B86" s="159" t="s">
        <v>644</v>
      </c>
      <c r="C86" s="159" t="s">
        <v>645</v>
      </c>
      <c r="D86" s="161"/>
      <c r="E86" s="159"/>
      <c r="F86" s="159" t="s">
        <v>249</v>
      </c>
      <c r="G86" s="159" t="s">
        <v>250</v>
      </c>
      <c r="H86" s="159" t="s">
        <v>539</v>
      </c>
      <c r="I86" s="159" t="s">
        <v>797</v>
      </c>
    </row>
    <row r="87" spans="1:9" ht="12.75" customHeight="1" x14ac:dyDescent="0.2">
      <c r="A87" s="159" t="s">
        <v>558</v>
      </c>
      <c r="B87" s="159" t="s">
        <v>254</v>
      </c>
      <c r="C87" s="159" t="s">
        <v>646</v>
      </c>
      <c r="D87" s="161">
        <v>0.2</v>
      </c>
      <c r="E87" s="159" t="s">
        <v>258</v>
      </c>
      <c r="F87" s="159" t="s">
        <v>249</v>
      </c>
      <c r="G87" s="159"/>
      <c r="H87" s="159" t="s">
        <v>543</v>
      </c>
      <c r="I87" s="159" t="s">
        <v>798</v>
      </c>
    </row>
    <row r="88" spans="1:9" ht="12.75" customHeight="1" x14ac:dyDescent="0.2">
      <c r="A88" s="159" t="s">
        <v>321</v>
      </c>
      <c r="B88" s="159" t="s">
        <v>647</v>
      </c>
      <c r="C88" s="159" t="s">
        <v>648</v>
      </c>
      <c r="D88" s="161"/>
      <c r="E88" s="159"/>
      <c r="F88" s="159" t="s">
        <v>249</v>
      </c>
      <c r="G88" s="159" t="s">
        <v>250</v>
      </c>
      <c r="H88" s="159" t="s">
        <v>539</v>
      </c>
      <c r="I88" s="159" t="s">
        <v>799</v>
      </c>
    </row>
    <row r="89" spans="1:9" ht="12.75" customHeight="1" x14ac:dyDescent="0.2">
      <c r="A89" s="159" t="s">
        <v>558</v>
      </c>
      <c r="B89" s="159" t="s">
        <v>254</v>
      </c>
      <c r="C89" s="159" t="s">
        <v>649</v>
      </c>
      <c r="D89" s="161">
        <v>0.15</v>
      </c>
      <c r="E89" s="159" t="s">
        <v>258</v>
      </c>
      <c r="F89" s="159" t="s">
        <v>249</v>
      </c>
      <c r="G89" s="159"/>
      <c r="H89" s="159" t="s">
        <v>543</v>
      </c>
      <c r="I89" s="159" t="s">
        <v>800</v>
      </c>
    </row>
    <row r="90" spans="1:9" ht="12.75" customHeight="1" x14ac:dyDescent="0.2">
      <c r="A90" s="159" t="s">
        <v>326</v>
      </c>
      <c r="B90" s="159" t="s">
        <v>650</v>
      </c>
      <c r="C90" s="159" t="s">
        <v>651</v>
      </c>
      <c r="D90" s="161"/>
      <c r="E90" s="159"/>
      <c r="F90" s="159" t="s">
        <v>249</v>
      </c>
      <c r="G90" s="159" t="s">
        <v>250</v>
      </c>
      <c r="H90" s="159" t="s">
        <v>539</v>
      </c>
      <c r="I90" s="159" t="s">
        <v>801</v>
      </c>
    </row>
    <row r="91" spans="1:9" ht="12.75" customHeight="1" x14ac:dyDescent="0.2">
      <c r="A91" s="159" t="s">
        <v>558</v>
      </c>
      <c r="B91" s="159" t="s">
        <v>254</v>
      </c>
      <c r="C91" s="159" t="s">
        <v>652</v>
      </c>
      <c r="D91" s="161">
        <v>0.2</v>
      </c>
      <c r="E91" s="159" t="s">
        <v>258</v>
      </c>
      <c r="F91" s="159" t="s">
        <v>249</v>
      </c>
      <c r="G91" s="159"/>
      <c r="H91" s="159" t="s">
        <v>543</v>
      </c>
      <c r="I91" s="159" t="s">
        <v>802</v>
      </c>
    </row>
    <row r="92" spans="1:9" ht="12.75" customHeight="1" x14ac:dyDescent="0.2">
      <c r="A92" s="159" t="s">
        <v>362</v>
      </c>
      <c r="B92" s="159" t="s">
        <v>653</v>
      </c>
      <c r="C92" s="159" t="s">
        <v>654</v>
      </c>
      <c r="D92" s="161"/>
      <c r="E92" s="159"/>
      <c r="F92" s="159" t="s">
        <v>249</v>
      </c>
      <c r="G92" s="159" t="s">
        <v>250</v>
      </c>
      <c r="H92" s="159" t="s">
        <v>539</v>
      </c>
      <c r="I92" s="159" t="s">
        <v>803</v>
      </c>
    </row>
    <row r="93" spans="1:9" ht="12.75" customHeight="1" x14ac:dyDescent="0.2">
      <c r="A93" s="159" t="s">
        <v>558</v>
      </c>
      <c r="B93" s="159" t="s">
        <v>254</v>
      </c>
      <c r="C93" s="159" t="s">
        <v>655</v>
      </c>
      <c r="D93" s="161">
        <v>0.05</v>
      </c>
      <c r="E93" s="159" t="s">
        <v>258</v>
      </c>
      <c r="F93" s="159" t="s">
        <v>249</v>
      </c>
      <c r="G93" s="159"/>
      <c r="H93" s="159" t="s">
        <v>543</v>
      </c>
      <c r="I93" s="159" t="s">
        <v>804</v>
      </c>
    </row>
    <row r="94" spans="1:9" ht="12.75" customHeight="1" x14ac:dyDescent="0.2">
      <c r="A94" s="159" t="s">
        <v>458</v>
      </c>
      <c r="B94" s="159" t="s">
        <v>656</v>
      </c>
      <c r="C94" s="159" t="s">
        <v>657</v>
      </c>
      <c r="D94" s="161"/>
      <c r="E94" s="159"/>
      <c r="F94" s="159" t="s">
        <v>249</v>
      </c>
      <c r="G94" s="159" t="s">
        <v>250</v>
      </c>
      <c r="H94" s="159" t="s">
        <v>539</v>
      </c>
      <c r="I94" s="159" t="s">
        <v>805</v>
      </c>
    </row>
    <row r="95" spans="1:9" ht="12.75" customHeight="1" x14ac:dyDescent="0.2">
      <c r="A95" s="159" t="s">
        <v>558</v>
      </c>
      <c r="B95" s="159" t="s">
        <v>254</v>
      </c>
      <c r="C95" s="159" t="s">
        <v>658</v>
      </c>
      <c r="D95" s="161">
        <v>0</v>
      </c>
      <c r="E95" s="159" t="s">
        <v>258</v>
      </c>
      <c r="F95" s="159" t="s">
        <v>249</v>
      </c>
      <c r="G95" s="159"/>
      <c r="H95" s="159" t="s">
        <v>543</v>
      </c>
      <c r="I95" s="159" t="s">
        <v>806</v>
      </c>
    </row>
    <row r="96" spans="1:9" ht="12.75" customHeight="1" x14ac:dyDescent="0.2">
      <c r="A96" s="159" t="s">
        <v>463</v>
      </c>
      <c r="B96" s="159" t="s">
        <v>659</v>
      </c>
      <c r="C96" s="159" t="s">
        <v>660</v>
      </c>
      <c r="D96" s="161"/>
      <c r="E96" s="159"/>
      <c r="F96" s="159" t="s">
        <v>249</v>
      </c>
      <c r="G96" s="159" t="s">
        <v>250</v>
      </c>
      <c r="H96" s="159" t="s">
        <v>539</v>
      </c>
      <c r="I96" s="159" t="s">
        <v>807</v>
      </c>
    </row>
    <row r="97" spans="1:9" ht="12.75" customHeight="1" x14ac:dyDescent="0.2">
      <c r="A97" s="159" t="s">
        <v>558</v>
      </c>
      <c r="B97" s="159" t="s">
        <v>254</v>
      </c>
      <c r="C97" s="159" t="s">
        <v>661</v>
      </c>
      <c r="D97" s="161">
        <v>0.25</v>
      </c>
      <c r="E97" s="159" t="s">
        <v>258</v>
      </c>
      <c r="F97" s="159" t="s">
        <v>249</v>
      </c>
      <c r="G97" s="159"/>
      <c r="H97" s="159" t="s">
        <v>543</v>
      </c>
      <c r="I97" s="159" t="s">
        <v>808</v>
      </c>
    </row>
    <row r="98" spans="1:9" ht="12.75" customHeight="1" x14ac:dyDescent="0.2">
      <c r="A98" s="159" t="s">
        <v>468</v>
      </c>
      <c r="B98" s="159" t="s">
        <v>662</v>
      </c>
      <c r="C98" s="159" t="s">
        <v>663</v>
      </c>
      <c r="D98" s="161"/>
      <c r="E98" s="159"/>
      <c r="F98" s="159" t="s">
        <v>249</v>
      </c>
      <c r="G98" s="159" t="s">
        <v>250</v>
      </c>
      <c r="H98" s="159" t="s">
        <v>539</v>
      </c>
      <c r="I98" s="159" t="s">
        <v>809</v>
      </c>
    </row>
    <row r="99" spans="1:9" ht="12.75" customHeight="1" x14ac:dyDescent="0.2">
      <c r="A99" s="159" t="s">
        <v>558</v>
      </c>
      <c r="B99" s="159" t="s">
        <v>254</v>
      </c>
      <c r="C99" s="159" t="s">
        <v>664</v>
      </c>
      <c r="D99" s="161">
        <v>0.15</v>
      </c>
      <c r="E99" s="159" t="s">
        <v>258</v>
      </c>
      <c r="F99" s="159" t="s">
        <v>249</v>
      </c>
      <c r="G99" s="159"/>
      <c r="H99" s="159" t="s">
        <v>543</v>
      </c>
      <c r="I99" s="159" t="s">
        <v>810</v>
      </c>
    </row>
    <row r="100" spans="1:9" ht="12.75" customHeight="1" x14ac:dyDescent="0.2">
      <c r="A100" s="159" t="s">
        <v>527</v>
      </c>
      <c r="B100" s="159" t="s">
        <v>507</v>
      </c>
      <c r="C100" s="159" t="s">
        <v>665</v>
      </c>
      <c r="D100" s="161"/>
      <c r="E100" s="159"/>
      <c r="F100" s="159" t="s">
        <v>249</v>
      </c>
      <c r="G100" s="159" t="s">
        <v>250</v>
      </c>
      <c r="H100" s="159" t="s">
        <v>539</v>
      </c>
      <c r="I100" s="159" t="s">
        <v>811</v>
      </c>
    </row>
    <row r="101" spans="1:9" ht="12.75" customHeight="1" x14ac:dyDescent="0.2">
      <c r="A101" s="159" t="s">
        <v>541</v>
      </c>
      <c r="B101" s="159" t="s">
        <v>265</v>
      </c>
      <c r="C101" s="159" t="s">
        <v>666</v>
      </c>
      <c r="D101" s="161">
        <v>0.6</v>
      </c>
      <c r="E101" s="159" t="s">
        <v>267</v>
      </c>
      <c r="F101" s="159" t="s">
        <v>249</v>
      </c>
      <c r="G101" s="159"/>
      <c r="H101" s="159" t="s">
        <v>543</v>
      </c>
      <c r="I101" s="159" t="s">
        <v>812</v>
      </c>
    </row>
    <row r="102" spans="1:9" ht="12.75" customHeight="1" x14ac:dyDescent="0.2">
      <c r="A102" s="159" t="s">
        <v>544</v>
      </c>
      <c r="B102" s="159" t="s">
        <v>275</v>
      </c>
      <c r="C102" s="159" t="s">
        <v>667</v>
      </c>
      <c r="D102" s="161">
        <v>0.2</v>
      </c>
      <c r="E102" s="159" t="s">
        <v>277</v>
      </c>
      <c r="F102" s="159" t="s">
        <v>249</v>
      </c>
      <c r="G102" s="159"/>
      <c r="H102" s="159" t="s">
        <v>543</v>
      </c>
      <c r="I102" s="159" t="s">
        <v>813</v>
      </c>
    </row>
    <row r="103" spans="1:9" ht="12.75" customHeight="1" x14ac:dyDescent="0.2">
      <c r="A103" s="159" t="s">
        <v>546</v>
      </c>
      <c r="B103" s="159" t="s">
        <v>270</v>
      </c>
      <c r="C103" s="159" t="s">
        <v>668</v>
      </c>
      <c r="D103" s="161">
        <v>0.2</v>
      </c>
      <c r="E103" s="159" t="s">
        <v>272</v>
      </c>
      <c r="F103" s="159" t="s">
        <v>249</v>
      </c>
      <c r="G103" s="159"/>
      <c r="H103" s="159" t="s">
        <v>543</v>
      </c>
      <c r="I103" s="159" t="s">
        <v>814</v>
      </c>
    </row>
    <row r="104" spans="1:9" ht="12.75" customHeight="1" x14ac:dyDescent="0.2">
      <c r="A104" s="159" t="s">
        <v>548</v>
      </c>
      <c r="B104" s="159" t="s">
        <v>280</v>
      </c>
      <c r="C104" s="159" t="s">
        <v>669</v>
      </c>
      <c r="D104" s="161">
        <v>0.4</v>
      </c>
      <c r="E104" s="159" t="s">
        <v>282</v>
      </c>
      <c r="F104" s="159" t="s">
        <v>249</v>
      </c>
      <c r="G104" s="159"/>
      <c r="H104" s="159" t="s">
        <v>543</v>
      </c>
      <c r="I104" s="159" t="s">
        <v>815</v>
      </c>
    </row>
    <row r="105" spans="1:9" ht="12.75" customHeight="1" x14ac:dyDescent="0.2">
      <c r="A105" s="159" t="s">
        <v>550</v>
      </c>
      <c r="B105" s="159" t="s">
        <v>285</v>
      </c>
      <c r="C105" s="159" t="s">
        <v>670</v>
      </c>
      <c r="D105" s="161">
        <v>0.6</v>
      </c>
      <c r="E105" s="159" t="s">
        <v>287</v>
      </c>
      <c r="F105" s="159" t="s">
        <v>249</v>
      </c>
      <c r="G105" s="159"/>
      <c r="H105" s="159" t="s">
        <v>543</v>
      </c>
      <c r="I105" s="159" t="s">
        <v>816</v>
      </c>
    </row>
    <row r="106" spans="1:9" ht="12.75" customHeight="1" x14ac:dyDescent="0.2">
      <c r="A106" s="159" t="s">
        <v>552</v>
      </c>
      <c r="B106" s="159" t="s">
        <v>290</v>
      </c>
      <c r="C106" s="159" t="s">
        <v>671</v>
      </c>
      <c r="D106" s="161">
        <v>0.4</v>
      </c>
      <c r="E106" s="159" t="s">
        <v>292</v>
      </c>
      <c r="F106" s="159" t="s">
        <v>249</v>
      </c>
      <c r="G106" s="159"/>
      <c r="H106" s="159" t="s">
        <v>543</v>
      </c>
      <c r="I106" s="159" t="s">
        <v>817</v>
      </c>
    </row>
    <row r="107" spans="1:9" ht="12.75" customHeight="1" x14ac:dyDescent="0.2">
      <c r="A107" s="159" t="s">
        <v>554</v>
      </c>
      <c r="B107" s="159" t="s">
        <v>295</v>
      </c>
      <c r="C107" s="159" t="s">
        <v>672</v>
      </c>
      <c r="D107" s="161">
        <v>0.2</v>
      </c>
      <c r="E107" s="159" t="s">
        <v>297</v>
      </c>
      <c r="F107" s="159" t="s">
        <v>249</v>
      </c>
      <c r="G107" s="159"/>
      <c r="H107" s="159" t="s">
        <v>543</v>
      </c>
      <c r="I107" s="159" t="s">
        <v>818</v>
      </c>
    </row>
    <row r="108" spans="1:9" ht="12.75" customHeight="1" x14ac:dyDescent="0.2">
      <c r="A108" s="159" t="s">
        <v>248</v>
      </c>
      <c r="B108" s="159" t="s">
        <v>673</v>
      </c>
      <c r="C108" s="159" t="s">
        <v>674</v>
      </c>
      <c r="D108" s="161"/>
      <c r="E108" s="159"/>
      <c r="F108" s="159" t="s">
        <v>249</v>
      </c>
      <c r="G108" s="159" t="s">
        <v>250</v>
      </c>
      <c r="H108" s="159" t="s">
        <v>539</v>
      </c>
      <c r="I108" s="159" t="s">
        <v>819</v>
      </c>
    </row>
    <row r="109" spans="1:9" ht="12.75" customHeight="1" x14ac:dyDescent="0.2">
      <c r="A109" s="159" t="s">
        <v>558</v>
      </c>
      <c r="B109" s="159" t="s">
        <v>254</v>
      </c>
      <c r="C109" s="159" t="s">
        <v>675</v>
      </c>
      <c r="D109" s="161">
        <v>0.15</v>
      </c>
      <c r="E109" s="159" t="s">
        <v>258</v>
      </c>
      <c r="F109" s="159" t="s">
        <v>249</v>
      </c>
      <c r="G109" s="159"/>
      <c r="H109" s="159" t="s">
        <v>543</v>
      </c>
      <c r="I109" s="159" t="s">
        <v>820</v>
      </c>
    </row>
    <row r="110" spans="1:9" ht="12.75" customHeight="1" x14ac:dyDescent="0.2">
      <c r="A110" s="159" t="s">
        <v>321</v>
      </c>
      <c r="B110" s="159" t="s">
        <v>676</v>
      </c>
      <c r="C110" s="159" t="s">
        <v>677</v>
      </c>
      <c r="D110" s="161"/>
      <c r="E110" s="159"/>
      <c r="F110" s="159" t="s">
        <v>249</v>
      </c>
      <c r="G110" s="159" t="s">
        <v>250</v>
      </c>
      <c r="H110" s="159" t="s">
        <v>539</v>
      </c>
      <c r="I110" s="159" t="s">
        <v>821</v>
      </c>
    </row>
    <row r="111" spans="1:9" ht="12.75" customHeight="1" x14ac:dyDescent="0.2">
      <c r="A111" s="159" t="s">
        <v>558</v>
      </c>
      <c r="B111" s="159" t="s">
        <v>254</v>
      </c>
      <c r="C111" s="159" t="s">
        <v>678</v>
      </c>
      <c r="D111" s="161">
        <v>0</v>
      </c>
      <c r="E111" s="159" t="s">
        <v>258</v>
      </c>
      <c r="F111" s="159" t="s">
        <v>249</v>
      </c>
      <c r="G111" s="159"/>
      <c r="H111" s="159" t="s">
        <v>543</v>
      </c>
      <c r="I111" s="159" t="s">
        <v>822</v>
      </c>
    </row>
    <row r="112" spans="1:9" ht="12.75" customHeight="1" x14ac:dyDescent="0.2">
      <c r="A112" s="159" t="s">
        <v>326</v>
      </c>
      <c r="B112" s="159" t="s">
        <v>679</v>
      </c>
      <c r="C112" s="159" t="s">
        <v>680</v>
      </c>
      <c r="D112" s="161"/>
      <c r="E112" s="159"/>
      <c r="F112" s="159" t="s">
        <v>249</v>
      </c>
      <c r="G112" s="159" t="s">
        <v>250</v>
      </c>
      <c r="H112" s="159" t="s">
        <v>539</v>
      </c>
      <c r="I112" s="159" t="s">
        <v>823</v>
      </c>
    </row>
    <row r="113" spans="1:9" ht="12.75" customHeight="1" x14ac:dyDescent="0.2">
      <c r="A113" s="159" t="s">
        <v>558</v>
      </c>
      <c r="B113" s="159" t="s">
        <v>254</v>
      </c>
      <c r="C113" s="159" t="s">
        <v>681</v>
      </c>
      <c r="D113" s="161">
        <v>0.15</v>
      </c>
      <c r="E113" s="159" t="s">
        <v>258</v>
      </c>
      <c r="F113" s="159" t="s">
        <v>249</v>
      </c>
      <c r="G113" s="159"/>
      <c r="H113" s="159" t="s">
        <v>543</v>
      </c>
      <c r="I113" s="159" t="s">
        <v>824</v>
      </c>
    </row>
    <row r="114" spans="1:9" ht="12.75" customHeight="1" x14ac:dyDescent="0.2">
      <c r="A114" s="159" t="s">
        <v>362</v>
      </c>
      <c r="B114" s="159" t="s">
        <v>682</v>
      </c>
      <c r="C114" s="159" t="s">
        <v>683</v>
      </c>
      <c r="D114" s="161"/>
      <c r="E114" s="159"/>
      <c r="F114" s="159" t="s">
        <v>249</v>
      </c>
      <c r="G114" s="159" t="s">
        <v>250</v>
      </c>
      <c r="H114" s="159" t="s">
        <v>539</v>
      </c>
      <c r="I114" s="159" t="s">
        <v>825</v>
      </c>
    </row>
    <row r="115" spans="1:9" ht="12.75" customHeight="1" x14ac:dyDescent="0.2">
      <c r="A115" s="159" t="s">
        <v>558</v>
      </c>
      <c r="B115" s="159" t="s">
        <v>254</v>
      </c>
      <c r="C115" s="159" t="s">
        <v>684</v>
      </c>
      <c r="D115" s="161">
        <v>0</v>
      </c>
      <c r="E115" s="159" t="s">
        <v>258</v>
      </c>
      <c r="F115" s="159" t="s">
        <v>249</v>
      </c>
      <c r="G115" s="159"/>
      <c r="H115" s="159" t="s">
        <v>543</v>
      </c>
      <c r="I115" s="159" t="s">
        <v>826</v>
      </c>
    </row>
    <row r="116" spans="1:9" ht="12.75" customHeight="1" x14ac:dyDescent="0.2">
      <c r="A116" s="159" t="s">
        <v>458</v>
      </c>
      <c r="B116" s="159" t="s">
        <v>685</v>
      </c>
      <c r="C116" s="159" t="s">
        <v>686</v>
      </c>
      <c r="D116" s="161"/>
      <c r="E116" s="159"/>
      <c r="F116" s="159" t="s">
        <v>249</v>
      </c>
      <c r="G116" s="159" t="s">
        <v>250</v>
      </c>
      <c r="H116" s="159" t="s">
        <v>539</v>
      </c>
      <c r="I116" s="159" t="s">
        <v>827</v>
      </c>
    </row>
    <row r="117" spans="1:9" ht="12.75" customHeight="1" x14ac:dyDescent="0.2">
      <c r="A117" s="159" t="s">
        <v>558</v>
      </c>
      <c r="B117" s="159" t="s">
        <v>254</v>
      </c>
      <c r="C117" s="159" t="s">
        <v>687</v>
      </c>
      <c r="D117" s="161">
        <v>0.6</v>
      </c>
      <c r="E117" s="159" t="s">
        <v>258</v>
      </c>
      <c r="F117" s="159" t="s">
        <v>249</v>
      </c>
      <c r="G117" s="159"/>
      <c r="H117" s="159" t="s">
        <v>543</v>
      </c>
      <c r="I117" s="159" t="s">
        <v>828</v>
      </c>
    </row>
    <row r="118" spans="1:9" ht="12.75" customHeight="1" x14ac:dyDescent="0.2">
      <c r="A118" s="159" t="s">
        <v>463</v>
      </c>
      <c r="B118" s="159" t="s">
        <v>688</v>
      </c>
      <c r="C118" s="159" t="s">
        <v>689</v>
      </c>
      <c r="D118" s="161"/>
      <c r="E118" s="159"/>
      <c r="F118" s="159" t="s">
        <v>249</v>
      </c>
      <c r="G118" s="159" t="s">
        <v>250</v>
      </c>
      <c r="H118" s="159" t="s">
        <v>539</v>
      </c>
      <c r="I118" s="159" t="s">
        <v>829</v>
      </c>
    </row>
    <row r="119" spans="1:9" ht="12.75" customHeight="1" x14ac:dyDescent="0.2">
      <c r="A119" s="159" t="s">
        <v>558</v>
      </c>
      <c r="B119" s="159" t="s">
        <v>254</v>
      </c>
      <c r="C119" s="159" t="s">
        <v>690</v>
      </c>
      <c r="D119" s="161">
        <v>0.1</v>
      </c>
      <c r="E119" s="159" t="s">
        <v>258</v>
      </c>
      <c r="F119" s="159" t="s">
        <v>249</v>
      </c>
      <c r="G119" s="159"/>
      <c r="H119" s="159" t="s">
        <v>543</v>
      </c>
      <c r="I119" s="159" t="s">
        <v>830</v>
      </c>
    </row>
    <row r="120" spans="1:9" ht="12.75" customHeight="1" x14ac:dyDescent="0.2">
      <c r="A120" s="159" t="s">
        <v>468</v>
      </c>
      <c r="B120" s="159" t="s">
        <v>691</v>
      </c>
      <c r="C120" s="159" t="s">
        <v>692</v>
      </c>
      <c r="D120" s="161"/>
      <c r="E120" s="159"/>
      <c r="F120" s="159" t="s">
        <v>249</v>
      </c>
      <c r="G120" s="159" t="s">
        <v>250</v>
      </c>
      <c r="H120" s="159" t="s">
        <v>539</v>
      </c>
      <c r="I120" s="159" t="s">
        <v>831</v>
      </c>
    </row>
    <row r="121" spans="1:9" ht="12.75" customHeight="1" x14ac:dyDescent="0.2">
      <c r="A121" s="159" t="s">
        <v>558</v>
      </c>
      <c r="B121" s="159" t="s">
        <v>254</v>
      </c>
      <c r="C121" s="159" t="s">
        <v>693</v>
      </c>
      <c r="D121" s="161">
        <v>0</v>
      </c>
      <c r="E121" s="159" t="s">
        <v>258</v>
      </c>
      <c r="F121" s="159" t="s">
        <v>249</v>
      </c>
      <c r="G121" s="159"/>
      <c r="H121" s="159" t="s">
        <v>543</v>
      </c>
      <c r="I121" s="159" t="s">
        <v>832</v>
      </c>
    </row>
  </sheetData>
  <sheetProtection sheet="1" objects="1" scenarios="1"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D9BDBC-575C-481A-A8F1-3F7CDC3712C7}">
  <sheetPr>
    <outlinePr summaryBelow="0"/>
  </sheetPr>
  <dimension ref="A1:N139"/>
  <sheetViews>
    <sheetView showGridLines="0" workbookViewId="0">
      <pane ySplit="8" topLeftCell="A9" activePane="bottomLeft" state="frozen"/>
      <selection pane="bottomLeft"/>
    </sheetView>
  </sheetViews>
  <sheetFormatPr baseColWidth="10" defaultColWidth="8.83203125" defaultRowHeight="12.75" customHeight="1" outlineLevelRow="2" outlineLevelCol="1" x14ac:dyDescent="0.2"/>
  <cols>
    <col min="1" max="1" width="22" bestFit="1" customWidth="1"/>
    <col min="2" max="2" width="10.33203125" hidden="1" customWidth="1" outlineLevel="1"/>
    <col min="3" max="3" width="18.1640625" bestFit="1" customWidth="1" collapsed="1"/>
    <col min="4" max="4" width="6.83203125" bestFit="1" customWidth="1"/>
    <col min="5" max="5" width="9" bestFit="1" customWidth="1"/>
    <col min="6" max="6" width="11" customWidth="1"/>
    <col min="7" max="8" width="11" bestFit="1" customWidth="1"/>
    <col min="9" max="9" width="13.6640625" bestFit="1" customWidth="1"/>
    <col min="10" max="10" width="6.33203125" bestFit="1" customWidth="1"/>
    <col min="11" max="11" width="8" bestFit="1" customWidth="1"/>
    <col min="12" max="12" width="5" bestFit="1" customWidth="1"/>
    <col min="13" max="13" width="35.1640625" hidden="1" customWidth="1" outlineLevel="1"/>
    <col min="14" max="14" width="1.6640625" bestFit="1" customWidth="1" collapsed="1"/>
  </cols>
  <sheetData>
    <row r="1" spans="1:14" ht="12.75" customHeight="1" x14ac:dyDescent="0.2">
      <c r="A1" s="156" t="s">
        <v>225</v>
      </c>
      <c r="B1" s="156"/>
      <c r="C1" s="156" t="s">
        <v>226</v>
      </c>
      <c r="D1" s="156"/>
      <c r="E1" s="156"/>
      <c r="F1" s="156"/>
      <c r="G1" s="156"/>
      <c r="H1" s="156"/>
      <c r="I1" s="156"/>
      <c r="J1" s="156"/>
      <c r="K1" s="156"/>
      <c r="L1" s="156"/>
      <c r="M1" s="157"/>
    </row>
    <row r="2" spans="1:14" ht="12.75" customHeight="1" x14ac:dyDescent="0.2">
      <c r="A2" s="156" t="s">
        <v>227</v>
      </c>
      <c r="B2" s="156"/>
      <c r="C2" s="156">
        <v>1</v>
      </c>
      <c r="D2" s="156"/>
      <c r="E2" s="156"/>
      <c r="F2" s="156"/>
      <c r="G2" s="156"/>
      <c r="H2" s="156"/>
      <c r="I2" s="156"/>
      <c r="J2" s="156"/>
      <c r="K2" s="156"/>
      <c r="L2" s="156"/>
      <c r="M2" s="157"/>
    </row>
    <row r="3" spans="1:14" ht="12.75" customHeight="1" x14ac:dyDescent="0.2">
      <c r="A3" s="156" t="s">
        <v>228</v>
      </c>
      <c r="B3" s="156"/>
      <c r="C3" s="156" t="s">
        <v>229</v>
      </c>
      <c r="D3" s="156"/>
      <c r="E3" s="156"/>
      <c r="F3" s="156"/>
      <c r="G3" s="156"/>
      <c r="H3" s="156"/>
      <c r="I3" s="156"/>
      <c r="J3" s="156"/>
      <c r="K3" s="156"/>
      <c r="L3" s="156"/>
      <c r="M3" s="157"/>
    </row>
    <row r="4" spans="1:14" ht="12.75" customHeight="1" x14ac:dyDescent="0.2">
      <c r="A4" s="156" t="s">
        <v>230</v>
      </c>
      <c r="B4" s="156"/>
      <c r="C4" s="156" t="s">
        <v>231</v>
      </c>
      <c r="D4" s="156"/>
      <c r="E4" s="156"/>
      <c r="F4" s="156"/>
      <c r="G4" s="156"/>
      <c r="H4" s="156"/>
      <c r="I4" s="156"/>
      <c r="J4" s="156"/>
      <c r="K4" s="156"/>
      <c r="L4" s="156"/>
      <c r="M4" s="157"/>
    </row>
    <row r="5" spans="1:14" ht="12.75" customHeight="1" x14ac:dyDescent="0.2">
      <c r="A5" s="156" t="s">
        <v>232</v>
      </c>
      <c r="B5" s="156"/>
      <c r="C5" s="156" t="s">
        <v>233</v>
      </c>
      <c r="D5" s="156"/>
      <c r="E5" s="156"/>
      <c r="F5" s="156"/>
      <c r="G5" s="156"/>
      <c r="H5" s="156"/>
      <c r="I5" s="156"/>
      <c r="J5" s="156"/>
      <c r="K5" s="156"/>
      <c r="L5" s="156"/>
      <c r="M5" s="157"/>
    </row>
    <row r="6" spans="1:14" ht="12.75" customHeight="1" x14ac:dyDescent="0.2">
      <c r="A6" s="157" t="s">
        <v>234</v>
      </c>
      <c r="B6" s="157"/>
      <c r="C6" s="158">
        <v>43565.789872685185</v>
      </c>
      <c r="D6" s="157"/>
      <c r="E6" s="157"/>
      <c r="F6" s="157"/>
      <c r="G6" s="157"/>
      <c r="H6" s="157"/>
      <c r="I6" s="157"/>
      <c r="J6" s="157"/>
      <c r="K6" s="157"/>
      <c r="L6" s="157"/>
      <c r="M6" s="157"/>
    </row>
    <row r="7" spans="1:14" ht="12.75" customHeight="1" x14ac:dyDescent="0.2">
      <c r="A7" s="162"/>
      <c r="B7" s="162"/>
      <c r="C7" s="162"/>
      <c r="D7" s="162"/>
      <c r="E7" s="162"/>
      <c r="F7" s="162"/>
      <c r="G7" s="162"/>
      <c r="H7" s="162"/>
      <c r="I7" s="162"/>
      <c r="J7" s="162"/>
      <c r="K7" s="162"/>
      <c r="L7" s="162"/>
      <c r="M7" s="162"/>
    </row>
    <row r="8" spans="1:14" ht="12.75" customHeight="1" x14ac:dyDescent="0.2">
      <c r="A8" s="163" t="s">
        <v>235</v>
      </c>
      <c r="B8" s="163" t="s">
        <v>236</v>
      </c>
      <c r="C8" s="163" t="s">
        <v>237</v>
      </c>
      <c r="D8" s="163" t="s">
        <v>238</v>
      </c>
      <c r="E8" s="163" t="s">
        <v>239</v>
      </c>
      <c r="F8" s="163" t="s">
        <v>240</v>
      </c>
      <c r="G8" s="163" t="s">
        <v>241</v>
      </c>
      <c r="H8" s="163" t="s">
        <v>242</v>
      </c>
      <c r="I8" s="163" t="s">
        <v>243</v>
      </c>
      <c r="J8" s="163" t="s">
        <v>244</v>
      </c>
      <c r="K8" s="163" t="s">
        <v>245</v>
      </c>
      <c r="L8" s="163" t="s">
        <v>246</v>
      </c>
      <c r="M8" s="164" t="s">
        <v>247</v>
      </c>
    </row>
    <row r="9" spans="1:14" ht="12.75" customHeight="1" x14ac:dyDescent="0.2">
      <c r="A9" s="160"/>
      <c r="B9" s="160"/>
      <c r="C9" s="160"/>
      <c r="D9" s="160"/>
      <c r="E9" s="160"/>
      <c r="F9" s="160"/>
      <c r="G9" s="160"/>
      <c r="H9" s="160"/>
      <c r="I9" s="160"/>
      <c r="J9" s="160"/>
      <c r="K9" s="160"/>
      <c r="L9" s="160"/>
      <c r="M9" s="160"/>
    </row>
    <row r="10" spans="1:14" ht="12.75" customHeight="1" x14ac:dyDescent="0.2">
      <c r="A10" s="159" t="s">
        <v>248</v>
      </c>
      <c r="B10" s="159" t="s">
        <v>248</v>
      </c>
      <c r="C10" s="161"/>
      <c r="D10" s="161"/>
      <c r="E10" s="161"/>
      <c r="F10" s="161"/>
      <c r="G10" s="161"/>
      <c r="H10" s="159" t="s">
        <v>248</v>
      </c>
      <c r="I10" s="159"/>
      <c r="J10" s="159" t="s">
        <v>249</v>
      </c>
      <c r="K10" s="159" t="s">
        <v>250</v>
      </c>
      <c r="L10" s="159" t="s">
        <v>251</v>
      </c>
      <c r="M10" s="159" t="s">
        <v>252</v>
      </c>
      <c r="N10">
        <v>1</v>
      </c>
    </row>
    <row r="11" spans="1:14" ht="12.75" customHeight="1" outlineLevel="1" x14ac:dyDescent="0.2">
      <c r="A11" s="159" t="s">
        <v>253</v>
      </c>
      <c r="B11" s="159" t="s">
        <v>254</v>
      </c>
      <c r="C11" s="160" t="s">
        <v>255</v>
      </c>
      <c r="D11" s="160" t="s">
        <v>255</v>
      </c>
      <c r="E11" s="160">
        <v>0</v>
      </c>
      <c r="F11" s="160" t="s">
        <v>475</v>
      </c>
      <c r="G11" s="161">
        <f>IF($F$11="MANUAL",$D$11,IF($F$11="COMPUTED",$C$11,$E$11))</f>
        <v>0</v>
      </c>
      <c r="H11" s="159" t="s">
        <v>257</v>
      </c>
      <c r="I11" s="159" t="s">
        <v>258</v>
      </c>
      <c r="J11" s="159" t="s">
        <v>249</v>
      </c>
      <c r="K11" s="159"/>
      <c r="L11" s="159" t="s">
        <v>259</v>
      </c>
      <c r="M11" s="159" t="s">
        <v>260</v>
      </c>
      <c r="N11">
        <v>2</v>
      </c>
    </row>
    <row r="12" spans="1:14" ht="12.75" customHeight="1" x14ac:dyDescent="0.2">
      <c r="A12" s="159" t="s">
        <v>261</v>
      </c>
      <c r="B12" s="159" t="s">
        <v>262</v>
      </c>
      <c r="C12" s="161"/>
      <c r="D12" s="161"/>
      <c r="E12" s="161"/>
      <c r="F12" s="161"/>
      <c r="G12" s="161"/>
      <c r="H12" s="159" t="s">
        <v>262</v>
      </c>
      <c r="I12" s="159"/>
      <c r="J12" s="159" t="s">
        <v>249</v>
      </c>
      <c r="K12" s="159" t="s">
        <v>250</v>
      </c>
      <c r="L12" s="159" t="s">
        <v>251</v>
      </c>
      <c r="M12" s="159" t="s">
        <v>263</v>
      </c>
      <c r="N12">
        <v>1</v>
      </c>
    </row>
    <row r="13" spans="1:14" ht="12.75" customHeight="1" outlineLevel="1" x14ac:dyDescent="0.2">
      <c r="A13" s="159" t="s">
        <v>264</v>
      </c>
      <c r="B13" s="159" t="s">
        <v>265</v>
      </c>
      <c r="C13" s="160" t="s">
        <v>255</v>
      </c>
      <c r="D13" s="160">
        <v>0.6</v>
      </c>
      <c r="E13" s="160" t="s">
        <v>255</v>
      </c>
      <c r="F13" s="160" t="s">
        <v>256</v>
      </c>
      <c r="G13" s="161">
        <f>IF($F$13="MANUAL",$D$13,IF($F$13="COMPUTED",$C$13,$E$13))</f>
        <v>0.6</v>
      </c>
      <c r="H13" s="159" t="s">
        <v>266</v>
      </c>
      <c r="I13" s="159" t="s">
        <v>267</v>
      </c>
      <c r="J13" s="159" t="s">
        <v>249</v>
      </c>
      <c r="K13" s="159"/>
      <c r="L13" s="159" t="s">
        <v>259</v>
      </c>
      <c r="M13" s="159" t="s">
        <v>268</v>
      </c>
      <c r="N13">
        <v>2</v>
      </c>
    </row>
    <row r="14" spans="1:14" ht="12.75" customHeight="1" outlineLevel="1" x14ac:dyDescent="0.2">
      <c r="A14" s="159" t="s">
        <v>269</v>
      </c>
      <c r="B14" s="159" t="s">
        <v>270</v>
      </c>
      <c r="C14" s="160" t="s">
        <v>255</v>
      </c>
      <c r="D14" s="160">
        <v>1</v>
      </c>
      <c r="E14" s="160" t="s">
        <v>255</v>
      </c>
      <c r="F14" s="160" t="s">
        <v>256</v>
      </c>
      <c r="G14" s="161">
        <f>IF($F$14="MANUAL",$D$14,IF($F$14="COMPUTED",$C$14,$E$14))</f>
        <v>1</v>
      </c>
      <c r="H14" s="159" t="s">
        <v>271</v>
      </c>
      <c r="I14" s="159" t="s">
        <v>272</v>
      </c>
      <c r="J14" s="159" t="s">
        <v>249</v>
      </c>
      <c r="K14" s="159"/>
      <c r="L14" s="159" t="s">
        <v>259</v>
      </c>
      <c r="M14" s="159" t="s">
        <v>273</v>
      </c>
      <c r="N14">
        <v>2</v>
      </c>
    </row>
    <row r="15" spans="1:14" ht="12.75" customHeight="1" outlineLevel="1" x14ac:dyDescent="0.2">
      <c r="A15" s="159" t="s">
        <v>274</v>
      </c>
      <c r="B15" s="159" t="s">
        <v>275</v>
      </c>
      <c r="C15" s="160" t="s">
        <v>255</v>
      </c>
      <c r="D15" s="160">
        <v>0.2</v>
      </c>
      <c r="E15" s="160" t="s">
        <v>255</v>
      </c>
      <c r="F15" s="160" t="s">
        <v>256</v>
      </c>
      <c r="G15" s="161">
        <f>IF($F$15="MANUAL",$D$15,IF($F$15="COMPUTED",$C$15,$E$15))</f>
        <v>0.2</v>
      </c>
      <c r="H15" s="159" t="s">
        <v>276</v>
      </c>
      <c r="I15" s="159" t="s">
        <v>277</v>
      </c>
      <c r="J15" s="159" t="s">
        <v>249</v>
      </c>
      <c r="K15" s="159"/>
      <c r="L15" s="159" t="s">
        <v>259</v>
      </c>
      <c r="M15" s="159" t="s">
        <v>278</v>
      </c>
      <c r="N15">
        <v>2</v>
      </c>
    </row>
    <row r="16" spans="1:14" ht="12.75" customHeight="1" outlineLevel="1" x14ac:dyDescent="0.2">
      <c r="A16" s="159" t="s">
        <v>279</v>
      </c>
      <c r="B16" s="159" t="s">
        <v>280</v>
      </c>
      <c r="C16" s="160" t="s">
        <v>255</v>
      </c>
      <c r="D16" s="160">
        <v>0.4</v>
      </c>
      <c r="E16" s="160" t="s">
        <v>255</v>
      </c>
      <c r="F16" s="160" t="s">
        <v>256</v>
      </c>
      <c r="G16" s="161">
        <f>IF($F$16="MANUAL",$D$16,IF($F$16="COMPUTED",$C$16,$E$16))</f>
        <v>0.4</v>
      </c>
      <c r="H16" s="159" t="s">
        <v>281</v>
      </c>
      <c r="I16" s="159" t="s">
        <v>282</v>
      </c>
      <c r="J16" s="159" t="s">
        <v>249</v>
      </c>
      <c r="K16" s="159"/>
      <c r="L16" s="159" t="s">
        <v>259</v>
      </c>
      <c r="M16" s="159" t="s">
        <v>283</v>
      </c>
      <c r="N16">
        <v>2</v>
      </c>
    </row>
    <row r="17" spans="1:14" ht="12.75" customHeight="1" outlineLevel="1" x14ac:dyDescent="0.2">
      <c r="A17" s="159" t="s">
        <v>284</v>
      </c>
      <c r="B17" s="159" t="s">
        <v>285</v>
      </c>
      <c r="C17" s="160" t="s">
        <v>255</v>
      </c>
      <c r="D17" s="160">
        <v>0.8</v>
      </c>
      <c r="E17" s="160" t="s">
        <v>255</v>
      </c>
      <c r="F17" s="160" t="s">
        <v>256</v>
      </c>
      <c r="G17" s="161">
        <f>IF($F$17="MANUAL",$D$17,IF($F$17="COMPUTED",$C$17,$E$17))</f>
        <v>0.8</v>
      </c>
      <c r="H17" s="159" t="s">
        <v>286</v>
      </c>
      <c r="I17" s="159" t="s">
        <v>287</v>
      </c>
      <c r="J17" s="159" t="s">
        <v>249</v>
      </c>
      <c r="K17" s="159"/>
      <c r="L17" s="159" t="s">
        <v>259</v>
      </c>
      <c r="M17" s="159" t="s">
        <v>288</v>
      </c>
      <c r="N17">
        <v>2</v>
      </c>
    </row>
    <row r="18" spans="1:14" ht="12.75" customHeight="1" outlineLevel="1" x14ac:dyDescent="0.2">
      <c r="A18" s="159" t="s">
        <v>289</v>
      </c>
      <c r="B18" s="159" t="s">
        <v>290</v>
      </c>
      <c r="C18" s="160" t="s">
        <v>255</v>
      </c>
      <c r="D18" s="160">
        <v>0.4</v>
      </c>
      <c r="E18" s="160" t="s">
        <v>255</v>
      </c>
      <c r="F18" s="160" t="s">
        <v>256</v>
      </c>
      <c r="G18" s="161">
        <f>IF($F$18="MANUAL",$D$18,IF($F$18="COMPUTED",$C$18,$E$18))</f>
        <v>0.4</v>
      </c>
      <c r="H18" s="159" t="s">
        <v>291</v>
      </c>
      <c r="I18" s="159" t="s">
        <v>292</v>
      </c>
      <c r="J18" s="159" t="s">
        <v>249</v>
      </c>
      <c r="K18" s="159"/>
      <c r="L18" s="159" t="s">
        <v>259</v>
      </c>
      <c r="M18" s="159" t="s">
        <v>293</v>
      </c>
      <c r="N18">
        <v>2</v>
      </c>
    </row>
    <row r="19" spans="1:14" ht="12.75" customHeight="1" outlineLevel="1" x14ac:dyDescent="0.2">
      <c r="A19" s="159" t="s">
        <v>294</v>
      </c>
      <c r="B19" s="159" t="s">
        <v>295</v>
      </c>
      <c r="C19" s="160" t="s">
        <v>255</v>
      </c>
      <c r="D19" s="160">
        <v>1</v>
      </c>
      <c r="E19" s="160" t="s">
        <v>255</v>
      </c>
      <c r="F19" s="160" t="s">
        <v>256</v>
      </c>
      <c r="G19" s="161">
        <f>IF($F$19="MANUAL",$D$19,IF($F$19="COMPUTED",$C$19,$E$19))</f>
        <v>1</v>
      </c>
      <c r="H19" s="159" t="s">
        <v>296</v>
      </c>
      <c r="I19" s="159" t="s">
        <v>297</v>
      </c>
      <c r="J19" s="159" t="s">
        <v>249</v>
      </c>
      <c r="K19" s="159"/>
      <c r="L19" s="159" t="s">
        <v>259</v>
      </c>
      <c r="M19" s="159" t="s">
        <v>298</v>
      </c>
      <c r="N19">
        <v>2</v>
      </c>
    </row>
    <row r="20" spans="1:14" ht="12.75" customHeight="1" outlineLevel="1" x14ac:dyDescent="0.2">
      <c r="A20" s="159" t="s">
        <v>299</v>
      </c>
      <c r="B20" s="159"/>
      <c r="C20" s="161"/>
      <c r="D20" s="160"/>
      <c r="E20" s="161"/>
      <c r="F20" s="161"/>
      <c r="G20" s="161"/>
      <c r="H20" s="159" t="s">
        <v>300</v>
      </c>
      <c r="I20" s="159"/>
      <c r="J20" s="159" t="s">
        <v>249</v>
      </c>
      <c r="K20" s="159" t="s">
        <v>250</v>
      </c>
      <c r="L20" s="159" t="s">
        <v>301</v>
      </c>
      <c r="M20" s="159" t="s">
        <v>302</v>
      </c>
      <c r="N20">
        <v>2</v>
      </c>
    </row>
    <row r="21" spans="1:14" ht="12.75" customHeight="1" outlineLevel="2" x14ac:dyDescent="0.2">
      <c r="A21" s="159" t="s">
        <v>476</v>
      </c>
      <c r="B21" s="159" t="s">
        <v>254</v>
      </c>
      <c r="C21" s="160" t="s">
        <v>255</v>
      </c>
      <c r="D21" s="160" t="s">
        <v>255</v>
      </c>
      <c r="E21" s="160">
        <v>0</v>
      </c>
      <c r="F21" s="160" t="s">
        <v>475</v>
      </c>
      <c r="G21" s="161">
        <f>IF($F$21="MANUAL",$D$21,IF($F$21="COMPUTED",$C$21,$E$21))</f>
        <v>0</v>
      </c>
      <c r="H21" s="159" t="s">
        <v>694</v>
      </c>
      <c r="I21" s="159" t="s">
        <v>258</v>
      </c>
      <c r="J21" s="159" t="s">
        <v>249</v>
      </c>
      <c r="K21" s="159"/>
      <c r="L21" s="159" t="s">
        <v>478</v>
      </c>
      <c r="M21" s="159" t="s">
        <v>695</v>
      </c>
      <c r="N21">
        <v>3</v>
      </c>
    </row>
    <row r="22" spans="1:14" ht="12.75" customHeight="1" outlineLevel="1" x14ac:dyDescent="0.2">
      <c r="A22" s="159" t="s">
        <v>303</v>
      </c>
      <c r="B22" s="159"/>
      <c r="C22" s="161"/>
      <c r="D22" s="160"/>
      <c r="E22" s="161"/>
      <c r="F22" s="161"/>
      <c r="G22" s="161"/>
      <c r="H22" s="159" t="s">
        <v>304</v>
      </c>
      <c r="I22" s="159"/>
      <c r="J22" s="159" t="s">
        <v>249</v>
      </c>
      <c r="K22" s="159" t="s">
        <v>250</v>
      </c>
      <c r="L22" s="159" t="s">
        <v>301</v>
      </c>
      <c r="M22" s="159" t="s">
        <v>305</v>
      </c>
      <c r="N22">
        <v>2</v>
      </c>
    </row>
    <row r="23" spans="1:14" ht="12.75" customHeight="1" outlineLevel="2" x14ac:dyDescent="0.2">
      <c r="A23" s="159" t="s">
        <v>476</v>
      </c>
      <c r="B23" s="159" t="s">
        <v>254</v>
      </c>
      <c r="C23" s="160" t="s">
        <v>255</v>
      </c>
      <c r="D23" s="160">
        <v>0.6</v>
      </c>
      <c r="E23" s="160" t="s">
        <v>255</v>
      </c>
      <c r="F23" s="160" t="s">
        <v>256</v>
      </c>
      <c r="G23" s="161">
        <f>IF($F$23="MANUAL",$D$23,IF($F$23="COMPUTED",$C$23,$E$23))</f>
        <v>0.6</v>
      </c>
      <c r="H23" s="159" t="s">
        <v>477</v>
      </c>
      <c r="I23" s="159" t="s">
        <v>258</v>
      </c>
      <c r="J23" s="159" t="s">
        <v>249</v>
      </c>
      <c r="K23" s="159"/>
      <c r="L23" s="159" t="s">
        <v>478</v>
      </c>
      <c r="M23" s="159" t="s">
        <v>479</v>
      </c>
      <c r="N23">
        <v>3</v>
      </c>
    </row>
    <row r="24" spans="1:14" ht="12.75" customHeight="1" outlineLevel="1" x14ac:dyDescent="0.2">
      <c r="A24" s="159" t="s">
        <v>306</v>
      </c>
      <c r="B24" s="159"/>
      <c r="C24" s="161"/>
      <c r="D24" s="160"/>
      <c r="E24" s="161"/>
      <c r="F24" s="161"/>
      <c r="G24" s="161"/>
      <c r="H24" s="159" t="s">
        <v>307</v>
      </c>
      <c r="I24" s="159"/>
      <c r="J24" s="159" t="s">
        <v>249</v>
      </c>
      <c r="K24" s="159" t="s">
        <v>250</v>
      </c>
      <c r="L24" s="159" t="s">
        <v>301</v>
      </c>
      <c r="M24" s="159" t="s">
        <v>308</v>
      </c>
      <c r="N24">
        <v>2</v>
      </c>
    </row>
    <row r="25" spans="1:14" ht="12.75" customHeight="1" outlineLevel="2" x14ac:dyDescent="0.2">
      <c r="A25" s="159" t="s">
        <v>476</v>
      </c>
      <c r="B25" s="159" t="s">
        <v>254</v>
      </c>
      <c r="C25" s="160" t="s">
        <v>255</v>
      </c>
      <c r="D25" s="160">
        <v>0.2</v>
      </c>
      <c r="E25" s="160" t="s">
        <v>255</v>
      </c>
      <c r="F25" s="160" t="s">
        <v>256</v>
      </c>
      <c r="G25" s="161">
        <f>IF($F$25="MANUAL",$D$25,IF($F$25="COMPUTED",$C$25,$E$25))</f>
        <v>0.2</v>
      </c>
      <c r="H25" s="159" t="s">
        <v>696</v>
      </c>
      <c r="I25" s="159" t="s">
        <v>258</v>
      </c>
      <c r="J25" s="159" t="s">
        <v>249</v>
      </c>
      <c r="K25" s="159"/>
      <c r="L25" s="159" t="s">
        <v>478</v>
      </c>
      <c r="M25" s="159" t="s">
        <v>697</v>
      </c>
      <c r="N25">
        <v>3</v>
      </c>
    </row>
    <row r="26" spans="1:14" ht="12.75" customHeight="1" outlineLevel="1" x14ac:dyDescent="0.2">
      <c r="A26" s="159" t="s">
        <v>309</v>
      </c>
      <c r="B26" s="159"/>
      <c r="C26" s="161"/>
      <c r="D26" s="160"/>
      <c r="E26" s="161"/>
      <c r="F26" s="161"/>
      <c r="G26" s="161"/>
      <c r="H26" s="159" t="s">
        <v>310</v>
      </c>
      <c r="I26" s="159"/>
      <c r="J26" s="159" t="s">
        <v>249</v>
      </c>
      <c r="K26" s="159" t="s">
        <v>250</v>
      </c>
      <c r="L26" s="159" t="s">
        <v>301</v>
      </c>
      <c r="M26" s="159" t="s">
        <v>311</v>
      </c>
      <c r="N26">
        <v>2</v>
      </c>
    </row>
    <row r="27" spans="1:14" ht="12.75" customHeight="1" outlineLevel="2" x14ac:dyDescent="0.2">
      <c r="A27" s="159" t="s">
        <v>476</v>
      </c>
      <c r="B27" s="159" t="s">
        <v>254</v>
      </c>
      <c r="C27" s="160" t="s">
        <v>255</v>
      </c>
      <c r="D27" s="160">
        <v>0.1</v>
      </c>
      <c r="E27" s="160" t="s">
        <v>255</v>
      </c>
      <c r="F27" s="160" t="s">
        <v>256</v>
      </c>
      <c r="G27" s="161">
        <f>IF($F$27="MANUAL",$D$27,IF($F$27="COMPUTED",$C$27,$E$27))</f>
        <v>0.1</v>
      </c>
      <c r="H27" s="159" t="s">
        <v>480</v>
      </c>
      <c r="I27" s="159" t="s">
        <v>258</v>
      </c>
      <c r="J27" s="159" t="s">
        <v>249</v>
      </c>
      <c r="K27" s="159"/>
      <c r="L27" s="159" t="s">
        <v>478</v>
      </c>
      <c r="M27" s="159" t="s">
        <v>481</v>
      </c>
      <c r="N27">
        <v>3</v>
      </c>
    </row>
    <row r="28" spans="1:14" ht="12.75" customHeight="1" outlineLevel="1" x14ac:dyDescent="0.2">
      <c r="A28" s="159" t="s">
        <v>312</v>
      </c>
      <c r="B28" s="159"/>
      <c r="C28" s="161"/>
      <c r="D28" s="160"/>
      <c r="E28" s="161"/>
      <c r="F28" s="161"/>
      <c r="G28" s="161"/>
      <c r="H28" s="159" t="s">
        <v>313</v>
      </c>
      <c r="I28" s="159"/>
      <c r="J28" s="159" t="s">
        <v>249</v>
      </c>
      <c r="K28" s="159" t="s">
        <v>250</v>
      </c>
      <c r="L28" s="159" t="s">
        <v>301</v>
      </c>
      <c r="M28" s="159" t="s">
        <v>314</v>
      </c>
      <c r="N28">
        <v>2</v>
      </c>
    </row>
    <row r="29" spans="1:14" ht="12.75" customHeight="1" outlineLevel="2" x14ac:dyDescent="0.2">
      <c r="A29" s="159" t="s">
        <v>476</v>
      </c>
      <c r="B29" s="159" t="s">
        <v>254</v>
      </c>
      <c r="C29" s="160" t="s">
        <v>255</v>
      </c>
      <c r="D29" s="160">
        <v>0.1</v>
      </c>
      <c r="E29" s="160" t="s">
        <v>255</v>
      </c>
      <c r="F29" s="160" t="s">
        <v>256</v>
      </c>
      <c r="G29" s="161">
        <f>IF($F$29="MANUAL",$D$29,IF($F$29="COMPUTED",$C$29,$E$29))</f>
        <v>0.1</v>
      </c>
      <c r="H29" s="159" t="s">
        <v>482</v>
      </c>
      <c r="I29" s="159" t="s">
        <v>258</v>
      </c>
      <c r="J29" s="159" t="s">
        <v>249</v>
      </c>
      <c r="K29" s="159"/>
      <c r="L29" s="159" t="s">
        <v>478</v>
      </c>
      <c r="M29" s="159" t="s">
        <v>483</v>
      </c>
      <c r="N29">
        <v>3</v>
      </c>
    </row>
    <row r="30" spans="1:14" ht="12.75" customHeight="1" outlineLevel="1" x14ac:dyDescent="0.2">
      <c r="A30" s="159" t="s">
        <v>315</v>
      </c>
      <c r="B30" s="159"/>
      <c r="C30" s="161"/>
      <c r="D30" s="160"/>
      <c r="E30" s="161"/>
      <c r="F30" s="161"/>
      <c r="G30" s="161"/>
      <c r="H30" s="159" t="s">
        <v>316</v>
      </c>
      <c r="I30" s="159"/>
      <c r="J30" s="159" t="s">
        <v>249</v>
      </c>
      <c r="K30" s="159" t="s">
        <v>250</v>
      </c>
      <c r="L30" s="159" t="s">
        <v>301</v>
      </c>
      <c r="M30" s="159" t="s">
        <v>317</v>
      </c>
      <c r="N30">
        <v>2</v>
      </c>
    </row>
    <row r="31" spans="1:14" ht="12.75" customHeight="1" outlineLevel="2" x14ac:dyDescent="0.2">
      <c r="A31" s="159" t="s">
        <v>476</v>
      </c>
      <c r="B31" s="159" t="s">
        <v>254</v>
      </c>
      <c r="C31" s="160" t="s">
        <v>255</v>
      </c>
      <c r="D31" s="160">
        <v>0</v>
      </c>
      <c r="E31" s="160" t="s">
        <v>255</v>
      </c>
      <c r="F31" s="160" t="s">
        <v>256</v>
      </c>
      <c r="G31" s="161">
        <f>IF($F$31="MANUAL",$D$31,IF($F$31="COMPUTED",$C$31,$E$31))</f>
        <v>0</v>
      </c>
      <c r="H31" s="159" t="s">
        <v>698</v>
      </c>
      <c r="I31" s="159" t="s">
        <v>258</v>
      </c>
      <c r="J31" s="159" t="s">
        <v>249</v>
      </c>
      <c r="K31" s="159"/>
      <c r="L31" s="159" t="s">
        <v>478</v>
      </c>
      <c r="M31" s="159" t="s">
        <v>699</v>
      </c>
      <c r="N31">
        <v>3</v>
      </c>
    </row>
    <row r="32" spans="1:14" ht="12.75" customHeight="1" outlineLevel="1" x14ac:dyDescent="0.2">
      <c r="A32" s="159" t="s">
        <v>318</v>
      </c>
      <c r="B32" s="159"/>
      <c r="C32" s="161"/>
      <c r="D32" s="160"/>
      <c r="E32" s="161"/>
      <c r="F32" s="161"/>
      <c r="G32" s="161"/>
      <c r="H32" s="159" t="s">
        <v>319</v>
      </c>
      <c r="I32" s="159"/>
      <c r="J32" s="159" t="s">
        <v>249</v>
      </c>
      <c r="K32" s="159" t="s">
        <v>250</v>
      </c>
      <c r="L32" s="159" t="s">
        <v>301</v>
      </c>
      <c r="M32" s="159" t="s">
        <v>320</v>
      </c>
      <c r="N32">
        <v>2</v>
      </c>
    </row>
    <row r="33" spans="1:14" ht="12.75" customHeight="1" outlineLevel="2" x14ac:dyDescent="0.2">
      <c r="A33" s="159" t="s">
        <v>476</v>
      </c>
      <c r="B33" s="159" t="s">
        <v>254</v>
      </c>
      <c r="C33" s="160" t="s">
        <v>255</v>
      </c>
      <c r="D33" s="160">
        <v>0</v>
      </c>
      <c r="E33" s="160" t="s">
        <v>255</v>
      </c>
      <c r="F33" s="160" t="s">
        <v>256</v>
      </c>
      <c r="G33" s="161">
        <f>IF($F$33="MANUAL",$D$33,IF($F$33="COMPUTED",$C$33,$E$33))</f>
        <v>0</v>
      </c>
      <c r="H33" s="159" t="s">
        <v>700</v>
      </c>
      <c r="I33" s="159" t="s">
        <v>258</v>
      </c>
      <c r="J33" s="159" t="s">
        <v>249</v>
      </c>
      <c r="K33" s="159"/>
      <c r="L33" s="159" t="s">
        <v>478</v>
      </c>
      <c r="M33" s="159" t="s">
        <v>701</v>
      </c>
      <c r="N33">
        <v>3</v>
      </c>
    </row>
    <row r="34" spans="1:14" ht="12.75" customHeight="1" x14ac:dyDescent="0.2">
      <c r="A34" s="159" t="s">
        <v>321</v>
      </c>
      <c r="B34" s="159" t="s">
        <v>322</v>
      </c>
      <c r="C34" s="161"/>
      <c r="D34" s="161"/>
      <c r="E34" s="161"/>
      <c r="F34" s="161"/>
      <c r="G34" s="161"/>
      <c r="H34" s="159" t="s">
        <v>322</v>
      </c>
      <c r="I34" s="159"/>
      <c r="J34" s="159" t="s">
        <v>249</v>
      </c>
      <c r="K34" s="159" t="s">
        <v>250</v>
      </c>
      <c r="L34" s="159" t="s">
        <v>251</v>
      </c>
      <c r="M34" s="159" t="s">
        <v>323</v>
      </c>
      <c r="N34">
        <v>1</v>
      </c>
    </row>
    <row r="35" spans="1:14" ht="12.75" customHeight="1" outlineLevel="1" x14ac:dyDescent="0.2">
      <c r="A35" s="159" t="s">
        <v>253</v>
      </c>
      <c r="B35" s="159" t="s">
        <v>254</v>
      </c>
      <c r="C35" s="160" t="s">
        <v>255</v>
      </c>
      <c r="D35" s="160">
        <v>0</v>
      </c>
      <c r="E35" s="160" t="s">
        <v>255</v>
      </c>
      <c r="F35" s="160" t="s">
        <v>256</v>
      </c>
      <c r="G35" s="161">
        <f>IF($F$35="MANUAL",$D$35,IF($F$35="COMPUTED",$C$35,$E$35))</f>
        <v>0</v>
      </c>
      <c r="H35" s="159" t="s">
        <v>324</v>
      </c>
      <c r="I35" s="159" t="s">
        <v>258</v>
      </c>
      <c r="J35" s="159" t="s">
        <v>249</v>
      </c>
      <c r="K35" s="159"/>
      <c r="L35" s="159" t="s">
        <v>259</v>
      </c>
      <c r="M35" s="159" t="s">
        <v>325</v>
      </c>
      <c r="N35">
        <v>2</v>
      </c>
    </row>
    <row r="36" spans="1:14" ht="12.75" customHeight="1" x14ac:dyDescent="0.2">
      <c r="A36" s="159" t="s">
        <v>326</v>
      </c>
      <c r="B36" s="159" t="s">
        <v>327</v>
      </c>
      <c r="C36" s="161"/>
      <c r="D36" s="161"/>
      <c r="E36" s="161"/>
      <c r="F36" s="161"/>
      <c r="G36" s="161"/>
      <c r="H36" s="159" t="s">
        <v>327</v>
      </c>
      <c r="I36" s="159"/>
      <c r="J36" s="159" t="s">
        <v>249</v>
      </c>
      <c r="K36" s="159" t="s">
        <v>250</v>
      </c>
      <c r="L36" s="159" t="s">
        <v>251</v>
      </c>
      <c r="M36" s="159" t="s">
        <v>328</v>
      </c>
      <c r="N36">
        <v>1</v>
      </c>
    </row>
    <row r="37" spans="1:14" ht="12.75" customHeight="1" outlineLevel="1" x14ac:dyDescent="0.2">
      <c r="A37" s="159" t="s">
        <v>253</v>
      </c>
      <c r="B37" s="159" t="s">
        <v>254</v>
      </c>
      <c r="C37" s="160" t="s">
        <v>255</v>
      </c>
      <c r="D37" s="160">
        <v>0.2</v>
      </c>
      <c r="E37" s="160" t="s">
        <v>255</v>
      </c>
      <c r="F37" s="160" t="s">
        <v>256</v>
      </c>
      <c r="G37" s="161">
        <f>IF($F$37="MANUAL",$D$37,IF($F$37="COMPUTED",$C$37,$E$37))</f>
        <v>0.2</v>
      </c>
      <c r="H37" s="159" t="s">
        <v>329</v>
      </c>
      <c r="I37" s="159" t="s">
        <v>258</v>
      </c>
      <c r="J37" s="159" t="s">
        <v>249</v>
      </c>
      <c r="K37" s="159"/>
      <c r="L37" s="159" t="s">
        <v>259</v>
      </c>
      <c r="M37" s="159" t="s">
        <v>330</v>
      </c>
      <c r="N37">
        <v>2</v>
      </c>
    </row>
    <row r="38" spans="1:14" ht="12.75" customHeight="1" x14ac:dyDescent="0.2">
      <c r="A38" s="159" t="s">
        <v>331</v>
      </c>
      <c r="B38" s="159" t="s">
        <v>332</v>
      </c>
      <c r="C38" s="161"/>
      <c r="D38" s="161"/>
      <c r="E38" s="161"/>
      <c r="F38" s="161"/>
      <c r="G38" s="161"/>
      <c r="H38" s="159" t="s">
        <v>332</v>
      </c>
      <c r="I38" s="159"/>
      <c r="J38" s="159" t="s">
        <v>249</v>
      </c>
      <c r="K38" s="159" t="s">
        <v>250</v>
      </c>
      <c r="L38" s="159" t="s">
        <v>251</v>
      </c>
      <c r="M38" s="159" t="s">
        <v>333</v>
      </c>
      <c r="N38">
        <v>1</v>
      </c>
    </row>
    <row r="39" spans="1:14" ht="12.75" customHeight="1" outlineLevel="1" x14ac:dyDescent="0.2">
      <c r="A39" s="159" t="s">
        <v>264</v>
      </c>
      <c r="B39" s="159" t="s">
        <v>265</v>
      </c>
      <c r="C39" s="160" t="s">
        <v>255</v>
      </c>
      <c r="D39" s="160">
        <v>0.6</v>
      </c>
      <c r="E39" s="160" t="s">
        <v>255</v>
      </c>
      <c r="F39" s="160" t="s">
        <v>256</v>
      </c>
      <c r="G39" s="161">
        <f>IF($F$39="MANUAL",$D$39,IF($F$39="COMPUTED",$C$39,$E$39))</f>
        <v>0.6</v>
      </c>
      <c r="H39" s="159" t="s">
        <v>334</v>
      </c>
      <c r="I39" s="159" t="s">
        <v>267</v>
      </c>
      <c r="J39" s="159" t="s">
        <v>249</v>
      </c>
      <c r="K39" s="159"/>
      <c r="L39" s="159" t="s">
        <v>259</v>
      </c>
      <c r="M39" s="159" t="s">
        <v>335</v>
      </c>
      <c r="N39">
        <v>2</v>
      </c>
    </row>
    <row r="40" spans="1:14" ht="12.75" customHeight="1" outlineLevel="1" x14ac:dyDescent="0.2">
      <c r="A40" s="159" t="s">
        <v>269</v>
      </c>
      <c r="B40" s="159" t="s">
        <v>270</v>
      </c>
      <c r="C40" s="160" t="s">
        <v>255</v>
      </c>
      <c r="D40" s="160">
        <v>0.8</v>
      </c>
      <c r="E40" s="160" t="s">
        <v>255</v>
      </c>
      <c r="F40" s="160" t="s">
        <v>256</v>
      </c>
      <c r="G40" s="161">
        <f>IF($F$40="MANUAL",$D$40,IF($F$40="COMPUTED",$C$40,$E$40))</f>
        <v>0.8</v>
      </c>
      <c r="H40" s="159" t="s">
        <v>336</v>
      </c>
      <c r="I40" s="159" t="s">
        <v>272</v>
      </c>
      <c r="J40" s="159" t="s">
        <v>249</v>
      </c>
      <c r="K40" s="159"/>
      <c r="L40" s="159" t="s">
        <v>259</v>
      </c>
      <c r="M40" s="159" t="s">
        <v>337</v>
      </c>
      <c r="N40">
        <v>2</v>
      </c>
    </row>
    <row r="41" spans="1:14" ht="12.75" customHeight="1" outlineLevel="1" x14ac:dyDescent="0.2">
      <c r="A41" s="159" t="s">
        <v>274</v>
      </c>
      <c r="B41" s="159" t="s">
        <v>275</v>
      </c>
      <c r="C41" s="160" t="s">
        <v>255</v>
      </c>
      <c r="D41" s="160">
        <v>0.2</v>
      </c>
      <c r="E41" s="160" t="s">
        <v>255</v>
      </c>
      <c r="F41" s="160" t="s">
        <v>256</v>
      </c>
      <c r="G41" s="161">
        <f>IF($F$41="MANUAL",$D$41,IF($F$41="COMPUTED",$C$41,$E$41))</f>
        <v>0.2</v>
      </c>
      <c r="H41" s="159" t="s">
        <v>338</v>
      </c>
      <c r="I41" s="159" t="s">
        <v>277</v>
      </c>
      <c r="J41" s="159" t="s">
        <v>249</v>
      </c>
      <c r="K41" s="159"/>
      <c r="L41" s="159" t="s">
        <v>259</v>
      </c>
      <c r="M41" s="159" t="s">
        <v>339</v>
      </c>
      <c r="N41">
        <v>2</v>
      </c>
    </row>
    <row r="42" spans="1:14" ht="12.75" customHeight="1" outlineLevel="1" x14ac:dyDescent="0.2">
      <c r="A42" s="159" t="s">
        <v>279</v>
      </c>
      <c r="B42" s="159" t="s">
        <v>280</v>
      </c>
      <c r="C42" s="160" t="s">
        <v>255</v>
      </c>
      <c r="D42" s="160">
        <v>0.4</v>
      </c>
      <c r="E42" s="160" t="s">
        <v>255</v>
      </c>
      <c r="F42" s="160" t="s">
        <v>256</v>
      </c>
      <c r="G42" s="161">
        <f>IF($F$42="MANUAL",$D$42,IF($F$42="COMPUTED",$C$42,$E$42))</f>
        <v>0.4</v>
      </c>
      <c r="H42" s="159" t="s">
        <v>340</v>
      </c>
      <c r="I42" s="159" t="s">
        <v>282</v>
      </c>
      <c r="J42" s="159" t="s">
        <v>249</v>
      </c>
      <c r="K42" s="159"/>
      <c r="L42" s="159" t="s">
        <v>259</v>
      </c>
      <c r="M42" s="159" t="s">
        <v>341</v>
      </c>
      <c r="N42">
        <v>2</v>
      </c>
    </row>
    <row r="43" spans="1:14" ht="12.75" customHeight="1" outlineLevel="1" x14ac:dyDescent="0.2">
      <c r="A43" s="159" t="s">
        <v>284</v>
      </c>
      <c r="B43" s="159" t="s">
        <v>285</v>
      </c>
      <c r="C43" s="160" t="s">
        <v>255</v>
      </c>
      <c r="D43" s="160">
        <v>0.2</v>
      </c>
      <c r="E43" s="160" t="s">
        <v>255</v>
      </c>
      <c r="F43" s="160" t="s">
        <v>256</v>
      </c>
      <c r="G43" s="161">
        <f>IF($F$43="MANUAL",$D$43,IF($F$43="COMPUTED",$C$43,$E$43))</f>
        <v>0.2</v>
      </c>
      <c r="H43" s="159" t="s">
        <v>342</v>
      </c>
      <c r="I43" s="159" t="s">
        <v>287</v>
      </c>
      <c r="J43" s="159" t="s">
        <v>249</v>
      </c>
      <c r="K43" s="159"/>
      <c r="L43" s="159" t="s">
        <v>259</v>
      </c>
      <c r="M43" s="159" t="s">
        <v>343</v>
      </c>
      <c r="N43">
        <v>2</v>
      </c>
    </row>
    <row r="44" spans="1:14" ht="12.75" customHeight="1" outlineLevel="1" x14ac:dyDescent="0.2">
      <c r="A44" s="159" t="s">
        <v>289</v>
      </c>
      <c r="B44" s="159" t="s">
        <v>290</v>
      </c>
      <c r="C44" s="160" t="s">
        <v>255</v>
      </c>
      <c r="D44" s="160">
        <v>0.4</v>
      </c>
      <c r="E44" s="160" t="s">
        <v>255</v>
      </c>
      <c r="F44" s="160" t="s">
        <v>256</v>
      </c>
      <c r="G44" s="161">
        <f>IF($F$44="MANUAL",$D$44,IF($F$44="COMPUTED",$C$44,$E$44))</f>
        <v>0.4</v>
      </c>
      <c r="H44" s="159" t="s">
        <v>344</v>
      </c>
      <c r="I44" s="159" t="s">
        <v>292</v>
      </c>
      <c r="J44" s="159" t="s">
        <v>249</v>
      </c>
      <c r="K44" s="159"/>
      <c r="L44" s="159" t="s">
        <v>259</v>
      </c>
      <c r="M44" s="159" t="s">
        <v>345</v>
      </c>
      <c r="N44">
        <v>2</v>
      </c>
    </row>
    <row r="45" spans="1:14" ht="12.75" customHeight="1" outlineLevel="1" x14ac:dyDescent="0.2">
      <c r="A45" s="159" t="s">
        <v>294</v>
      </c>
      <c r="B45" s="159" t="s">
        <v>295</v>
      </c>
      <c r="C45" s="160" t="s">
        <v>255</v>
      </c>
      <c r="D45" s="160">
        <v>0.4</v>
      </c>
      <c r="E45" s="160" t="s">
        <v>255</v>
      </c>
      <c r="F45" s="160" t="s">
        <v>256</v>
      </c>
      <c r="G45" s="161">
        <f>IF($F$45="MANUAL",$D$45,IF($F$45="COMPUTED",$C$45,$E$45))</f>
        <v>0.4</v>
      </c>
      <c r="H45" s="159" t="s">
        <v>346</v>
      </c>
      <c r="I45" s="159" t="s">
        <v>297</v>
      </c>
      <c r="J45" s="159" t="s">
        <v>249</v>
      </c>
      <c r="K45" s="159"/>
      <c r="L45" s="159" t="s">
        <v>259</v>
      </c>
      <c r="M45" s="159" t="s">
        <v>347</v>
      </c>
      <c r="N45">
        <v>2</v>
      </c>
    </row>
    <row r="46" spans="1:14" ht="12.75" customHeight="1" outlineLevel="1" x14ac:dyDescent="0.2">
      <c r="A46" s="159" t="s">
        <v>299</v>
      </c>
      <c r="B46" s="159"/>
      <c r="C46" s="161"/>
      <c r="D46" s="160"/>
      <c r="E46" s="161"/>
      <c r="F46" s="161"/>
      <c r="G46" s="161"/>
      <c r="H46" s="159" t="s">
        <v>348</v>
      </c>
      <c r="I46" s="159"/>
      <c r="J46" s="159" t="s">
        <v>249</v>
      </c>
      <c r="K46" s="159" t="s">
        <v>250</v>
      </c>
      <c r="L46" s="159" t="s">
        <v>301</v>
      </c>
      <c r="M46" s="159" t="s">
        <v>349</v>
      </c>
      <c r="N46">
        <v>2</v>
      </c>
    </row>
    <row r="47" spans="1:14" ht="12.75" customHeight="1" outlineLevel="2" x14ac:dyDescent="0.2">
      <c r="A47" s="159" t="s">
        <v>476</v>
      </c>
      <c r="B47" s="159" t="s">
        <v>254</v>
      </c>
      <c r="C47" s="160" t="s">
        <v>255</v>
      </c>
      <c r="D47" s="160" t="s">
        <v>255</v>
      </c>
      <c r="E47" s="160">
        <v>0</v>
      </c>
      <c r="F47" s="160" t="s">
        <v>475</v>
      </c>
      <c r="G47" s="161">
        <f>IF($F$47="MANUAL",$D$47,IF($F$47="COMPUTED",$C$47,$E$47))</f>
        <v>0</v>
      </c>
      <c r="H47" s="159" t="s">
        <v>484</v>
      </c>
      <c r="I47" s="159" t="s">
        <v>258</v>
      </c>
      <c r="J47" s="159" t="s">
        <v>249</v>
      </c>
      <c r="K47" s="159"/>
      <c r="L47" s="159" t="s">
        <v>478</v>
      </c>
      <c r="M47" s="159" t="s">
        <v>485</v>
      </c>
      <c r="N47">
        <v>3</v>
      </c>
    </row>
    <row r="48" spans="1:14" ht="12.75" customHeight="1" outlineLevel="1" x14ac:dyDescent="0.2">
      <c r="A48" s="159" t="s">
        <v>303</v>
      </c>
      <c r="B48" s="159"/>
      <c r="C48" s="161"/>
      <c r="D48" s="160"/>
      <c r="E48" s="161"/>
      <c r="F48" s="161"/>
      <c r="G48" s="161"/>
      <c r="H48" s="159" t="s">
        <v>350</v>
      </c>
      <c r="I48" s="159"/>
      <c r="J48" s="159" t="s">
        <v>249</v>
      </c>
      <c r="K48" s="159" t="s">
        <v>250</v>
      </c>
      <c r="L48" s="159" t="s">
        <v>301</v>
      </c>
      <c r="M48" s="159" t="s">
        <v>351</v>
      </c>
      <c r="N48">
        <v>2</v>
      </c>
    </row>
    <row r="49" spans="1:14" ht="12.75" customHeight="1" outlineLevel="2" x14ac:dyDescent="0.2">
      <c r="A49" s="159" t="s">
        <v>476</v>
      </c>
      <c r="B49" s="159" t="s">
        <v>254</v>
      </c>
      <c r="C49" s="160" t="s">
        <v>255</v>
      </c>
      <c r="D49" s="160">
        <v>0</v>
      </c>
      <c r="E49" s="160" t="s">
        <v>255</v>
      </c>
      <c r="F49" s="160" t="s">
        <v>256</v>
      </c>
      <c r="G49" s="161">
        <f>IF($F$49="MANUAL",$D$49,IF($F$49="COMPUTED",$C$49,$E$49))</f>
        <v>0</v>
      </c>
      <c r="H49" s="159" t="s">
        <v>702</v>
      </c>
      <c r="I49" s="159" t="s">
        <v>258</v>
      </c>
      <c r="J49" s="159" t="s">
        <v>249</v>
      </c>
      <c r="K49" s="159"/>
      <c r="L49" s="159" t="s">
        <v>478</v>
      </c>
      <c r="M49" s="159" t="s">
        <v>703</v>
      </c>
      <c r="N49">
        <v>3</v>
      </c>
    </row>
    <row r="50" spans="1:14" ht="12.75" customHeight="1" outlineLevel="1" x14ac:dyDescent="0.2">
      <c r="A50" s="159" t="s">
        <v>306</v>
      </c>
      <c r="B50" s="159"/>
      <c r="C50" s="161"/>
      <c r="D50" s="160"/>
      <c r="E50" s="161"/>
      <c r="F50" s="161"/>
      <c r="G50" s="161"/>
      <c r="H50" s="159" t="s">
        <v>352</v>
      </c>
      <c r="I50" s="159"/>
      <c r="J50" s="159" t="s">
        <v>249</v>
      </c>
      <c r="K50" s="159" t="s">
        <v>250</v>
      </c>
      <c r="L50" s="159" t="s">
        <v>301</v>
      </c>
      <c r="M50" s="159" t="s">
        <v>353</v>
      </c>
      <c r="N50">
        <v>2</v>
      </c>
    </row>
    <row r="51" spans="1:14" ht="12.75" customHeight="1" outlineLevel="2" x14ac:dyDescent="0.2">
      <c r="A51" s="159" t="s">
        <v>476</v>
      </c>
      <c r="B51" s="159" t="s">
        <v>254</v>
      </c>
      <c r="C51" s="160" t="s">
        <v>255</v>
      </c>
      <c r="D51" s="160">
        <v>0.1</v>
      </c>
      <c r="E51" s="160" t="s">
        <v>255</v>
      </c>
      <c r="F51" s="160" t="s">
        <v>256</v>
      </c>
      <c r="G51" s="161">
        <f>IF($F$51="MANUAL",$D$51,IF($F$51="COMPUTED",$C$51,$E$51))</f>
        <v>0.1</v>
      </c>
      <c r="H51" s="159" t="s">
        <v>486</v>
      </c>
      <c r="I51" s="159" t="s">
        <v>258</v>
      </c>
      <c r="J51" s="159" t="s">
        <v>249</v>
      </c>
      <c r="K51" s="159"/>
      <c r="L51" s="159" t="s">
        <v>478</v>
      </c>
      <c r="M51" s="159" t="s">
        <v>487</v>
      </c>
      <c r="N51">
        <v>3</v>
      </c>
    </row>
    <row r="52" spans="1:14" ht="12.75" customHeight="1" outlineLevel="1" x14ac:dyDescent="0.2">
      <c r="A52" s="159" t="s">
        <v>309</v>
      </c>
      <c r="B52" s="159"/>
      <c r="C52" s="161"/>
      <c r="D52" s="160"/>
      <c r="E52" s="161"/>
      <c r="F52" s="161"/>
      <c r="G52" s="161"/>
      <c r="H52" s="159" t="s">
        <v>354</v>
      </c>
      <c r="I52" s="159"/>
      <c r="J52" s="159" t="s">
        <v>249</v>
      </c>
      <c r="K52" s="159" t="s">
        <v>250</v>
      </c>
      <c r="L52" s="159" t="s">
        <v>301</v>
      </c>
      <c r="M52" s="159" t="s">
        <v>355</v>
      </c>
      <c r="N52">
        <v>2</v>
      </c>
    </row>
    <row r="53" spans="1:14" ht="12.75" customHeight="1" outlineLevel="2" x14ac:dyDescent="0.2">
      <c r="A53" s="159" t="s">
        <v>476</v>
      </c>
      <c r="B53" s="159" t="s">
        <v>254</v>
      </c>
      <c r="C53" s="160" t="s">
        <v>255</v>
      </c>
      <c r="D53" s="160">
        <v>0.7</v>
      </c>
      <c r="E53" s="160" t="s">
        <v>255</v>
      </c>
      <c r="F53" s="160" t="s">
        <v>256</v>
      </c>
      <c r="G53" s="161">
        <f>IF($F$53="MANUAL",$D$53,IF($F$53="COMPUTED",$C$53,$E$53))</f>
        <v>0.7</v>
      </c>
      <c r="H53" s="159" t="s">
        <v>488</v>
      </c>
      <c r="I53" s="159" t="s">
        <v>258</v>
      </c>
      <c r="J53" s="159" t="s">
        <v>249</v>
      </c>
      <c r="K53" s="159"/>
      <c r="L53" s="159" t="s">
        <v>478</v>
      </c>
      <c r="M53" s="159" t="s">
        <v>489</v>
      </c>
      <c r="N53">
        <v>3</v>
      </c>
    </row>
    <row r="54" spans="1:14" ht="12.75" customHeight="1" outlineLevel="1" x14ac:dyDescent="0.2">
      <c r="A54" s="159" t="s">
        <v>312</v>
      </c>
      <c r="B54" s="159"/>
      <c r="C54" s="161"/>
      <c r="D54" s="160"/>
      <c r="E54" s="161"/>
      <c r="F54" s="161"/>
      <c r="G54" s="161"/>
      <c r="H54" s="159" t="s">
        <v>356</v>
      </c>
      <c r="I54" s="159"/>
      <c r="J54" s="159" t="s">
        <v>249</v>
      </c>
      <c r="K54" s="159" t="s">
        <v>250</v>
      </c>
      <c r="L54" s="159" t="s">
        <v>301</v>
      </c>
      <c r="M54" s="159" t="s">
        <v>357</v>
      </c>
      <c r="N54">
        <v>2</v>
      </c>
    </row>
    <row r="55" spans="1:14" ht="12.75" customHeight="1" outlineLevel="2" x14ac:dyDescent="0.2">
      <c r="A55" s="159" t="s">
        <v>476</v>
      </c>
      <c r="B55" s="159" t="s">
        <v>254</v>
      </c>
      <c r="C55" s="160" t="s">
        <v>255</v>
      </c>
      <c r="D55" s="160">
        <v>0</v>
      </c>
      <c r="E55" s="160" t="s">
        <v>255</v>
      </c>
      <c r="F55" s="160" t="s">
        <v>256</v>
      </c>
      <c r="G55" s="161">
        <f>IF($F$55="MANUAL",$D$55,IF($F$55="COMPUTED",$C$55,$E$55))</f>
        <v>0</v>
      </c>
      <c r="H55" s="159" t="s">
        <v>704</v>
      </c>
      <c r="I55" s="159" t="s">
        <v>258</v>
      </c>
      <c r="J55" s="159" t="s">
        <v>249</v>
      </c>
      <c r="K55" s="159"/>
      <c r="L55" s="159" t="s">
        <v>478</v>
      </c>
      <c r="M55" s="159" t="s">
        <v>705</v>
      </c>
      <c r="N55">
        <v>3</v>
      </c>
    </row>
    <row r="56" spans="1:14" ht="12.75" customHeight="1" outlineLevel="1" x14ac:dyDescent="0.2">
      <c r="A56" s="159" t="s">
        <v>315</v>
      </c>
      <c r="B56" s="159"/>
      <c r="C56" s="161"/>
      <c r="D56" s="160"/>
      <c r="E56" s="161"/>
      <c r="F56" s="161"/>
      <c r="G56" s="161"/>
      <c r="H56" s="159" t="s">
        <v>358</v>
      </c>
      <c r="I56" s="159"/>
      <c r="J56" s="159" t="s">
        <v>249</v>
      </c>
      <c r="K56" s="159" t="s">
        <v>250</v>
      </c>
      <c r="L56" s="159" t="s">
        <v>301</v>
      </c>
      <c r="M56" s="159" t="s">
        <v>359</v>
      </c>
      <c r="N56">
        <v>2</v>
      </c>
    </row>
    <row r="57" spans="1:14" ht="12.75" customHeight="1" outlineLevel="2" x14ac:dyDescent="0.2">
      <c r="A57" s="159" t="s">
        <v>476</v>
      </c>
      <c r="B57" s="159" t="s">
        <v>254</v>
      </c>
      <c r="C57" s="160" t="s">
        <v>255</v>
      </c>
      <c r="D57" s="160">
        <v>0.2</v>
      </c>
      <c r="E57" s="160" t="s">
        <v>255</v>
      </c>
      <c r="F57" s="160" t="s">
        <v>256</v>
      </c>
      <c r="G57" s="161">
        <f>IF($F$57="MANUAL",$D$57,IF($F$57="COMPUTED",$C$57,$E$57))</f>
        <v>0.2</v>
      </c>
      <c r="H57" s="159" t="s">
        <v>490</v>
      </c>
      <c r="I57" s="159" t="s">
        <v>258</v>
      </c>
      <c r="J57" s="159" t="s">
        <v>249</v>
      </c>
      <c r="K57" s="159"/>
      <c r="L57" s="159" t="s">
        <v>478</v>
      </c>
      <c r="M57" s="159" t="s">
        <v>491</v>
      </c>
      <c r="N57">
        <v>3</v>
      </c>
    </row>
    <row r="58" spans="1:14" ht="12.75" customHeight="1" outlineLevel="1" x14ac:dyDescent="0.2">
      <c r="A58" s="159" t="s">
        <v>318</v>
      </c>
      <c r="B58" s="159"/>
      <c r="C58" s="161"/>
      <c r="D58" s="160"/>
      <c r="E58" s="161"/>
      <c r="F58" s="161"/>
      <c r="G58" s="161"/>
      <c r="H58" s="159" t="s">
        <v>360</v>
      </c>
      <c r="I58" s="159"/>
      <c r="J58" s="159" t="s">
        <v>249</v>
      </c>
      <c r="K58" s="159" t="s">
        <v>250</v>
      </c>
      <c r="L58" s="159" t="s">
        <v>301</v>
      </c>
      <c r="M58" s="159" t="s">
        <v>361</v>
      </c>
      <c r="N58">
        <v>2</v>
      </c>
    </row>
    <row r="59" spans="1:14" ht="12.75" customHeight="1" outlineLevel="2" x14ac:dyDescent="0.2">
      <c r="A59" s="159" t="s">
        <v>476</v>
      </c>
      <c r="B59" s="159" t="s">
        <v>254</v>
      </c>
      <c r="C59" s="160" t="s">
        <v>255</v>
      </c>
      <c r="D59" s="160">
        <v>0</v>
      </c>
      <c r="E59" s="160" t="s">
        <v>255</v>
      </c>
      <c r="F59" s="160" t="s">
        <v>256</v>
      </c>
      <c r="G59" s="161">
        <f>IF($F$59="MANUAL",$D$59,IF($F$59="COMPUTED",$C$59,$E$59))</f>
        <v>0</v>
      </c>
      <c r="H59" s="159" t="s">
        <v>706</v>
      </c>
      <c r="I59" s="159" t="s">
        <v>258</v>
      </c>
      <c r="J59" s="159" t="s">
        <v>249</v>
      </c>
      <c r="K59" s="159"/>
      <c r="L59" s="159" t="s">
        <v>478</v>
      </c>
      <c r="M59" s="159" t="s">
        <v>707</v>
      </c>
      <c r="N59">
        <v>3</v>
      </c>
    </row>
    <row r="60" spans="1:14" ht="12.75" customHeight="1" x14ac:dyDescent="0.2">
      <c r="A60" s="159" t="s">
        <v>362</v>
      </c>
      <c r="B60" s="159" t="s">
        <v>332</v>
      </c>
      <c r="C60" s="161"/>
      <c r="D60" s="161"/>
      <c r="E60" s="161"/>
      <c r="F60" s="161"/>
      <c r="G60" s="161"/>
      <c r="H60" s="159" t="s">
        <v>332</v>
      </c>
      <c r="I60" s="159"/>
      <c r="J60" s="159" t="s">
        <v>249</v>
      </c>
      <c r="K60" s="159" t="s">
        <v>250</v>
      </c>
      <c r="L60" s="159" t="s">
        <v>251</v>
      </c>
      <c r="M60" s="159" t="s">
        <v>363</v>
      </c>
      <c r="N60">
        <v>1</v>
      </c>
    </row>
    <row r="61" spans="1:14" ht="12.75" customHeight="1" outlineLevel="1" x14ac:dyDescent="0.2">
      <c r="A61" s="159" t="s">
        <v>253</v>
      </c>
      <c r="B61" s="159" t="s">
        <v>254</v>
      </c>
      <c r="C61" s="160" t="s">
        <v>255</v>
      </c>
      <c r="D61" s="160" t="s">
        <v>255</v>
      </c>
      <c r="E61" s="160" t="s">
        <v>255</v>
      </c>
      <c r="F61" s="160" t="s">
        <v>256</v>
      </c>
      <c r="G61" s="161" t="str">
        <f>IF($F$61="MANUAL",$D$61,IF($F$61="COMPUTED",$C$61,$E$61))</f>
        <v>-</v>
      </c>
      <c r="H61" s="159" t="s">
        <v>364</v>
      </c>
      <c r="I61" s="159" t="s">
        <v>258</v>
      </c>
      <c r="J61" s="159" t="s">
        <v>249</v>
      </c>
      <c r="K61" s="159"/>
      <c r="L61" s="159" t="s">
        <v>259</v>
      </c>
      <c r="M61" s="159" t="s">
        <v>365</v>
      </c>
      <c r="N61">
        <v>2</v>
      </c>
    </row>
    <row r="62" spans="1:14" ht="12.75" customHeight="1" x14ac:dyDescent="0.2">
      <c r="A62" s="159" t="s">
        <v>492</v>
      </c>
      <c r="B62" s="159" t="s">
        <v>493</v>
      </c>
      <c r="C62" s="161"/>
      <c r="D62" s="161"/>
      <c r="E62" s="161"/>
      <c r="F62" s="161"/>
      <c r="G62" s="161"/>
      <c r="H62" s="159" t="s">
        <v>493</v>
      </c>
      <c r="I62" s="159"/>
      <c r="J62" s="159" t="s">
        <v>249</v>
      </c>
      <c r="K62" s="159" t="s">
        <v>250</v>
      </c>
      <c r="L62" s="159" t="s">
        <v>251</v>
      </c>
      <c r="M62" s="159" t="s">
        <v>494</v>
      </c>
      <c r="N62">
        <v>1</v>
      </c>
    </row>
    <row r="63" spans="1:14" ht="12.75" customHeight="1" outlineLevel="1" x14ac:dyDescent="0.2">
      <c r="A63" s="159" t="s">
        <v>495</v>
      </c>
      <c r="B63" s="159"/>
      <c r="C63" s="161"/>
      <c r="D63" s="160"/>
      <c r="E63" s="161"/>
      <c r="F63" s="161"/>
      <c r="G63" s="161"/>
      <c r="H63" s="159" t="s">
        <v>496</v>
      </c>
      <c r="I63" s="159"/>
      <c r="J63" s="159" t="s">
        <v>249</v>
      </c>
      <c r="K63" s="159" t="s">
        <v>250</v>
      </c>
      <c r="L63" s="159" t="s">
        <v>301</v>
      </c>
      <c r="M63" s="159" t="s">
        <v>497</v>
      </c>
      <c r="N63">
        <v>2</v>
      </c>
    </row>
    <row r="64" spans="1:14" ht="12.75" customHeight="1" outlineLevel="1" x14ac:dyDescent="0.2">
      <c r="A64" s="159" t="s">
        <v>309</v>
      </c>
      <c r="B64" s="159"/>
      <c r="C64" s="161"/>
      <c r="D64" s="160"/>
      <c r="E64" s="161"/>
      <c r="F64" s="161"/>
      <c r="G64" s="161"/>
      <c r="H64" s="159" t="s">
        <v>498</v>
      </c>
      <c r="I64" s="159"/>
      <c r="J64" s="159" t="s">
        <v>249</v>
      </c>
      <c r="K64" s="159" t="s">
        <v>250</v>
      </c>
      <c r="L64" s="159" t="s">
        <v>301</v>
      </c>
      <c r="M64" s="159" t="s">
        <v>499</v>
      </c>
      <c r="N64">
        <v>2</v>
      </c>
    </row>
    <row r="65" spans="1:14" ht="12.75" customHeight="1" outlineLevel="1" x14ac:dyDescent="0.2">
      <c r="A65" s="159" t="s">
        <v>500</v>
      </c>
      <c r="B65" s="159"/>
      <c r="C65" s="161"/>
      <c r="D65" s="160"/>
      <c r="E65" s="161"/>
      <c r="F65" s="161"/>
      <c r="G65" s="161"/>
      <c r="H65" s="159" t="s">
        <v>501</v>
      </c>
      <c r="I65" s="159"/>
      <c r="J65" s="159" t="s">
        <v>249</v>
      </c>
      <c r="K65" s="159" t="s">
        <v>250</v>
      </c>
      <c r="L65" s="159" t="s">
        <v>301</v>
      </c>
      <c r="M65" s="159" t="s">
        <v>502</v>
      </c>
      <c r="N65">
        <v>2</v>
      </c>
    </row>
    <row r="66" spans="1:14" ht="12.75" customHeight="1" outlineLevel="1" x14ac:dyDescent="0.2">
      <c r="A66" s="159" t="s">
        <v>503</v>
      </c>
      <c r="B66" s="159"/>
      <c r="C66" s="161"/>
      <c r="D66" s="160"/>
      <c r="E66" s="161"/>
      <c r="F66" s="161"/>
      <c r="G66" s="161"/>
      <c r="H66" s="159" t="s">
        <v>504</v>
      </c>
      <c r="I66" s="159"/>
      <c r="J66" s="159" t="s">
        <v>249</v>
      </c>
      <c r="K66" s="159" t="s">
        <v>250</v>
      </c>
      <c r="L66" s="159" t="s">
        <v>301</v>
      </c>
      <c r="M66" s="159" t="s">
        <v>505</v>
      </c>
      <c r="N66">
        <v>2</v>
      </c>
    </row>
    <row r="67" spans="1:14" ht="12.75" customHeight="1" outlineLevel="1" x14ac:dyDescent="0.2">
      <c r="A67" s="159" t="s">
        <v>506</v>
      </c>
      <c r="B67" s="159"/>
      <c r="C67" s="161"/>
      <c r="D67" s="160"/>
      <c r="E67" s="161"/>
      <c r="F67" s="161"/>
      <c r="G67" s="161"/>
      <c r="H67" s="159" t="s">
        <v>507</v>
      </c>
      <c r="I67" s="159"/>
      <c r="J67" s="159" t="s">
        <v>249</v>
      </c>
      <c r="K67" s="159" t="s">
        <v>250</v>
      </c>
      <c r="L67" s="159" t="s">
        <v>301</v>
      </c>
      <c r="M67" s="159" t="s">
        <v>508</v>
      </c>
      <c r="N67">
        <v>2</v>
      </c>
    </row>
    <row r="68" spans="1:14" ht="12.75" customHeight="1" x14ac:dyDescent="0.2">
      <c r="A68" s="159" t="s">
        <v>366</v>
      </c>
      <c r="B68" s="159" t="s">
        <v>367</v>
      </c>
      <c r="C68" s="161"/>
      <c r="D68" s="161"/>
      <c r="E68" s="161"/>
      <c r="F68" s="161"/>
      <c r="G68" s="161"/>
      <c r="H68" s="159" t="s">
        <v>367</v>
      </c>
      <c r="I68" s="159"/>
      <c r="J68" s="159" t="s">
        <v>249</v>
      </c>
      <c r="K68" s="159" t="s">
        <v>250</v>
      </c>
      <c r="L68" s="159" t="s">
        <v>251</v>
      </c>
      <c r="M68" s="159" t="s">
        <v>368</v>
      </c>
      <c r="N68">
        <v>1</v>
      </c>
    </row>
    <row r="69" spans="1:14" ht="12.75" customHeight="1" outlineLevel="1" x14ac:dyDescent="0.2">
      <c r="A69" s="159" t="s">
        <v>264</v>
      </c>
      <c r="B69" s="159" t="s">
        <v>265</v>
      </c>
      <c r="C69" s="160" t="s">
        <v>255</v>
      </c>
      <c r="D69" s="160">
        <v>0.6</v>
      </c>
      <c r="E69" s="160" t="s">
        <v>255</v>
      </c>
      <c r="F69" s="160" t="s">
        <v>256</v>
      </c>
      <c r="G69" s="161">
        <f>IF($F$69="MANUAL",$D$69,IF($F$69="COMPUTED",$C$69,$E$69))</f>
        <v>0.6</v>
      </c>
      <c r="H69" s="159" t="s">
        <v>369</v>
      </c>
      <c r="I69" s="159" t="s">
        <v>267</v>
      </c>
      <c r="J69" s="159" t="s">
        <v>249</v>
      </c>
      <c r="K69" s="159"/>
      <c r="L69" s="159" t="s">
        <v>259</v>
      </c>
      <c r="M69" s="159" t="s">
        <v>370</v>
      </c>
      <c r="N69">
        <v>2</v>
      </c>
    </row>
    <row r="70" spans="1:14" ht="12.75" customHeight="1" outlineLevel="1" x14ac:dyDescent="0.2">
      <c r="A70" s="159" t="s">
        <v>269</v>
      </c>
      <c r="B70" s="159" t="s">
        <v>270</v>
      </c>
      <c r="C70" s="160" t="s">
        <v>255</v>
      </c>
      <c r="D70" s="160">
        <v>0.8</v>
      </c>
      <c r="E70" s="160" t="s">
        <v>255</v>
      </c>
      <c r="F70" s="160" t="s">
        <v>256</v>
      </c>
      <c r="G70" s="161">
        <f>IF($F$70="MANUAL",$D$70,IF($F$70="COMPUTED",$C$70,$E$70))</f>
        <v>0.8</v>
      </c>
      <c r="H70" s="159" t="s">
        <v>371</v>
      </c>
      <c r="I70" s="159" t="s">
        <v>272</v>
      </c>
      <c r="J70" s="159" t="s">
        <v>249</v>
      </c>
      <c r="K70" s="159"/>
      <c r="L70" s="159" t="s">
        <v>259</v>
      </c>
      <c r="M70" s="159" t="s">
        <v>372</v>
      </c>
      <c r="N70">
        <v>2</v>
      </c>
    </row>
    <row r="71" spans="1:14" ht="12.75" customHeight="1" outlineLevel="1" x14ac:dyDescent="0.2">
      <c r="A71" s="159" t="s">
        <v>274</v>
      </c>
      <c r="B71" s="159" t="s">
        <v>275</v>
      </c>
      <c r="C71" s="160" t="s">
        <v>255</v>
      </c>
      <c r="D71" s="160">
        <v>0.2</v>
      </c>
      <c r="E71" s="160" t="s">
        <v>255</v>
      </c>
      <c r="F71" s="160" t="s">
        <v>256</v>
      </c>
      <c r="G71" s="161">
        <f>IF($F$71="MANUAL",$D$71,IF($F$71="COMPUTED",$C$71,$E$71))</f>
        <v>0.2</v>
      </c>
      <c r="H71" s="159" t="s">
        <v>373</v>
      </c>
      <c r="I71" s="159" t="s">
        <v>277</v>
      </c>
      <c r="J71" s="159" t="s">
        <v>249</v>
      </c>
      <c r="K71" s="159"/>
      <c r="L71" s="159" t="s">
        <v>259</v>
      </c>
      <c r="M71" s="159" t="s">
        <v>374</v>
      </c>
      <c r="N71">
        <v>2</v>
      </c>
    </row>
    <row r="72" spans="1:14" ht="12.75" customHeight="1" outlineLevel="1" x14ac:dyDescent="0.2">
      <c r="A72" s="159" t="s">
        <v>279</v>
      </c>
      <c r="B72" s="159" t="s">
        <v>280</v>
      </c>
      <c r="C72" s="160" t="s">
        <v>255</v>
      </c>
      <c r="D72" s="160">
        <v>0.4</v>
      </c>
      <c r="E72" s="160" t="s">
        <v>255</v>
      </c>
      <c r="F72" s="160" t="s">
        <v>256</v>
      </c>
      <c r="G72" s="161">
        <f>IF($F$72="MANUAL",$D$72,IF($F$72="COMPUTED",$C$72,$E$72))</f>
        <v>0.4</v>
      </c>
      <c r="H72" s="159" t="s">
        <v>375</v>
      </c>
      <c r="I72" s="159" t="s">
        <v>282</v>
      </c>
      <c r="J72" s="159" t="s">
        <v>249</v>
      </c>
      <c r="K72" s="159"/>
      <c r="L72" s="159" t="s">
        <v>259</v>
      </c>
      <c r="M72" s="159" t="s">
        <v>376</v>
      </c>
      <c r="N72">
        <v>2</v>
      </c>
    </row>
    <row r="73" spans="1:14" ht="12.75" customHeight="1" outlineLevel="1" x14ac:dyDescent="0.2">
      <c r="A73" s="159" t="s">
        <v>284</v>
      </c>
      <c r="B73" s="159" t="s">
        <v>285</v>
      </c>
      <c r="C73" s="160" t="s">
        <v>255</v>
      </c>
      <c r="D73" s="160">
        <v>0.4</v>
      </c>
      <c r="E73" s="160" t="s">
        <v>255</v>
      </c>
      <c r="F73" s="160" t="s">
        <v>256</v>
      </c>
      <c r="G73" s="161">
        <f>IF($F$73="MANUAL",$D$73,IF($F$73="COMPUTED",$C$73,$E$73))</f>
        <v>0.4</v>
      </c>
      <c r="H73" s="159" t="s">
        <v>377</v>
      </c>
      <c r="I73" s="159" t="s">
        <v>287</v>
      </c>
      <c r="J73" s="159" t="s">
        <v>249</v>
      </c>
      <c r="K73" s="159"/>
      <c r="L73" s="159" t="s">
        <v>259</v>
      </c>
      <c r="M73" s="159" t="s">
        <v>378</v>
      </c>
      <c r="N73">
        <v>2</v>
      </c>
    </row>
    <row r="74" spans="1:14" ht="12.75" customHeight="1" outlineLevel="1" x14ac:dyDescent="0.2">
      <c r="A74" s="159" t="s">
        <v>289</v>
      </c>
      <c r="B74" s="159" t="s">
        <v>290</v>
      </c>
      <c r="C74" s="160" t="s">
        <v>255</v>
      </c>
      <c r="D74" s="160">
        <v>0.4</v>
      </c>
      <c r="E74" s="160" t="s">
        <v>255</v>
      </c>
      <c r="F74" s="160" t="s">
        <v>256</v>
      </c>
      <c r="G74" s="161">
        <f>IF($F$74="MANUAL",$D$74,IF($F$74="COMPUTED",$C$74,$E$74))</f>
        <v>0.4</v>
      </c>
      <c r="H74" s="159" t="s">
        <v>379</v>
      </c>
      <c r="I74" s="159" t="s">
        <v>292</v>
      </c>
      <c r="J74" s="159" t="s">
        <v>249</v>
      </c>
      <c r="K74" s="159"/>
      <c r="L74" s="159" t="s">
        <v>259</v>
      </c>
      <c r="M74" s="159" t="s">
        <v>380</v>
      </c>
      <c r="N74">
        <v>2</v>
      </c>
    </row>
    <row r="75" spans="1:14" ht="12.75" customHeight="1" outlineLevel="1" x14ac:dyDescent="0.2">
      <c r="A75" s="159" t="s">
        <v>294</v>
      </c>
      <c r="B75" s="159" t="s">
        <v>295</v>
      </c>
      <c r="C75" s="160" t="s">
        <v>255</v>
      </c>
      <c r="D75" s="160">
        <v>0.8</v>
      </c>
      <c r="E75" s="160" t="s">
        <v>255</v>
      </c>
      <c r="F75" s="160" t="s">
        <v>256</v>
      </c>
      <c r="G75" s="161">
        <f>IF($F$75="MANUAL",$D$75,IF($F$75="COMPUTED",$C$75,$E$75))</f>
        <v>0.8</v>
      </c>
      <c r="H75" s="159" t="s">
        <v>381</v>
      </c>
      <c r="I75" s="159" t="s">
        <v>297</v>
      </c>
      <c r="J75" s="159" t="s">
        <v>249</v>
      </c>
      <c r="K75" s="159"/>
      <c r="L75" s="159" t="s">
        <v>259</v>
      </c>
      <c r="M75" s="159" t="s">
        <v>382</v>
      </c>
      <c r="N75">
        <v>2</v>
      </c>
    </row>
    <row r="76" spans="1:14" ht="12.75" customHeight="1" outlineLevel="1" x14ac:dyDescent="0.2">
      <c r="A76" s="159" t="s">
        <v>299</v>
      </c>
      <c r="B76" s="159"/>
      <c r="C76" s="161"/>
      <c r="D76" s="160"/>
      <c r="E76" s="161"/>
      <c r="F76" s="161"/>
      <c r="G76" s="161"/>
      <c r="H76" s="159" t="s">
        <v>383</v>
      </c>
      <c r="I76" s="159"/>
      <c r="J76" s="159" t="s">
        <v>249</v>
      </c>
      <c r="K76" s="159" t="s">
        <v>250</v>
      </c>
      <c r="L76" s="159" t="s">
        <v>301</v>
      </c>
      <c r="M76" s="159" t="s">
        <v>384</v>
      </c>
      <c r="N76">
        <v>2</v>
      </c>
    </row>
    <row r="77" spans="1:14" ht="12.75" customHeight="1" outlineLevel="2" x14ac:dyDescent="0.2">
      <c r="A77" s="159" t="s">
        <v>476</v>
      </c>
      <c r="B77" s="159" t="s">
        <v>254</v>
      </c>
      <c r="C77" s="160" t="s">
        <v>255</v>
      </c>
      <c r="D77" s="160" t="s">
        <v>255</v>
      </c>
      <c r="E77" s="160">
        <v>0.1</v>
      </c>
      <c r="F77" s="160" t="s">
        <v>475</v>
      </c>
      <c r="G77" s="161">
        <f>IF($F$77="MANUAL",$D$77,IF($F$77="COMPUTED",$C$77,$E$77))</f>
        <v>0.1</v>
      </c>
      <c r="H77" s="159" t="s">
        <v>509</v>
      </c>
      <c r="I77" s="159" t="s">
        <v>258</v>
      </c>
      <c r="J77" s="159" t="s">
        <v>249</v>
      </c>
      <c r="K77" s="159"/>
      <c r="L77" s="159" t="s">
        <v>478</v>
      </c>
      <c r="M77" s="159" t="s">
        <v>510</v>
      </c>
      <c r="N77">
        <v>3</v>
      </c>
    </row>
    <row r="78" spans="1:14" ht="12.75" customHeight="1" outlineLevel="1" x14ac:dyDescent="0.2">
      <c r="A78" s="159" t="s">
        <v>303</v>
      </c>
      <c r="B78" s="159"/>
      <c r="C78" s="161"/>
      <c r="D78" s="160"/>
      <c r="E78" s="161"/>
      <c r="F78" s="161"/>
      <c r="G78" s="161"/>
      <c r="H78" s="159" t="s">
        <v>385</v>
      </c>
      <c r="I78" s="159"/>
      <c r="J78" s="159" t="s">
        <v>249</v>
      </c>
      <c r="K78" s="159" t="s">
        <v>250</v>
      </c>
      <c r="L78" s="159" t="s">
        <v>301</v>
      </c>
      <c r="M78" s="159" t="s">
        <v>386</v>
      </c>
      <c r="N78">
        <v>2</v>
      </c>
    </row>
    <row r="79" spans="1:14" ht="12.75" customHeight="1" outlineLevel="2" x14ac:dyDescent="0.2">
      <c r="A79" s="159" t="s">
        <v>476</v>
      </c>
      <c r="B79" s="159" t="s">
        <v>254</v>
      </c>
      <c r="C79" s="160" t="s">
        <v>255</v>
      </c>
      <c r="D79" s="160">
        <v>0.3</v>
      </c>
      <c r="E79" s="160" t="s">
        <v>255</v>
      </c>
      <c r="F79" s="160" t="s">
        <v>256</v>
      </c>
      <c r="G79" s="161">
        <f>IF($F$79="MANUAL",$D$79,IF($F$79="COMPUTED",$C$79,$E$79))</f>
        <v>0.3</v>
      </c>
      <c r="H79" s="159" t="s">
        <v>511</v>
      </c>
      <c r="I79" s="159" t="s">
        <v>258</v>
      </c>
      <c r="J79" s="159" t="s">
        <v>249</v>
      </c>
      <c r="K79" s="159"/>
      <c r="L79" s="159" t="s">
        <v>478</v>
      </c>
      <c r="M79" s="159" t="s">
        <v>512</v>
      </c>
      <c r="N79">
        <v>3</v>
      </c>
    </row>
    <row r="80" spans="1:14" ht="12.75" customHeight="1" outlineLevel="1" x14ac:dyDescent="0.2">
      <c r="A80" s="159" t="s">
        <v>306</v>
      </c>
      <c r="B80" s="159"/>
      <c r="C80" s="161"/>
      <c r="D80" s="160"/>
      <c r="E80" s="161"/>
      <c r="F80" s="161"/>
      <c r="G80" s="161"/>
      <c r="H80" s="159" t="s">
        <v>387</v>
      </c>
      <c r="I80" s="159"/>
      <c r="J80" s="159" t="s">
        <v>249</v>
      </c>
      <c r="K80" s="159" t="s">
        <v>250</v>
      </c>
      <c r="L80" s="159" t="s">
        <v>301</v>
      </c>
      <c r="M80" s="159" t="s">
        <v>388</v>
      </c>
      <c r="N80">
        <v>2</v>
      </c>
    </row>
    <row r="81" spans="1:14" ht="12.75" customHeight="1" outlineLevel="2" x14ac:dyDescent="0.2">
      <c r="A81" s="159" t="s">
        <v>476</v>
      </c>
      <c r="B81" s="159" t="s">
        <v>254</v>
      </c>
      <c r="C81" s="160" t="s">
        <v>255</v>
      </c>
      <c r="D81" s="160">
        <v>0.2</v>
      </c>
      <c r="E81" s="160" t="s">
        <v>255</v>
      </c>
      <c r="F81" s="160" t="s">
        <v>256</v>
      </c>
      <c r="G81" s="161">
        <f>IF($F$81="MANUAL",$D$81,IF($F$81="COMPUTED",$C$81,$E$81))</f>
        <v>0.2</v>
      </c>
      <c r="H81" s="159" t="s">
        <v>708</v>
      </c>
      <c r="I81" s="159" t="s">
        <v>258</v>
      </c>
      <c r="J81" s="159" t="s">
        <v>249</v>
      </c>
      <c r="K81" s="159"/>
      <c r="L81" s="159" t="s">
        <v>478</v>
      </c>
      <c r="M81" s="159" t="s">
        <v>709</v>
      </c>
      <c r="N81">
        <v>3</v>
      </c>
    </row>
    <row r="82" spans="1:14" ht="12.75" customHeight="1" outlineLevel="1" x14ac:dyDescent="0.2">
      <c r="A82" s="159" t="s">
        <v>309</v>
      </c>
      <c r="B82" s="159"/>
      <c r="C82" s="161"/>
      <c r="D82" s="160"/>
      <c r="E82" s="161"/>
      <c r="F82" s="161"/>
      <c r="G82" s="161"/>
      <c r="H82" s="159" t="s">
        <v>389</v>
      </c>
      <c r="I82" s="159"/>
      <c r="J82" s="159" t="s">
        <v>249</v>
      </c>
      <c r="K82" s="159" t="s">
        <v>250</v>
      </c>
      <c r="L82" s="159" t="s">
        <v>301</v>
      </c>
      <c r="M82" s="159" t="s">
        <v>390</v>
      </c>
      <c r="N82">
        <v>2</v>
      </c>
    </row>
    <row r="83" spans="1:14" ht="12.75" customHeight="1" outlineLevel="2" x14ac:dyDescent="0.2">
      <c r="A83" s="159" t="s">
        <v>476</v>
      </c>
      <c r="B83" s="159" t="s">
        <v>254</v>
      </c>
      <c r="C83" s="160" t="s">
        <v>255</v>
      </c>
      <c r="D83" s="160">
        <v>0.3</v>
      </c>
      <c r="E83" s="160" t="s">
        <v>255</v>
      </c>
      <c r="F83" s="160" t="s">
        <v>256</v>
      </c>
      <c r="G83" s="161">
        <f>IF($F$83="MANUAL",$D$83,IF($F$83="COMPUTED",$C$83,$E$83))</f>
        <v>0.3</v>
      </c>
      <c r="H83" s="159" t="s">
        <v>513</v>
      </c>
      <c r="I83" s="159" t="s">
        <v>258</v>
      </c>
      <c r="J83" s="159" t="s">
        <v>249</v>
      </c>
      <c r="K83" s="159"/>
      <c r="L83" s="159" t="s">
        <v>478</v>
      </c>
      <c r="M83" s="159" t="s">
        <v>514</v>
      </c>
      <c r="N83">
        <v>3</v>
      </c>
    </row>
    <row r="84" spans="1:14" ht="12.75" customHeight="1" outlineLevel="1" x14ac:dyDescent="0.2">
      <c r="A84" s="159" t="s">
        <v>312</v>
      </c>
      <c r="B84" s="159"/>
      <c r="C84" s="161"/>
      <c r="D84" s="160"/>
      <c r="E84" s="161"/>
      <c r="F84" s="161"/>
      <c r="G84" s="161"/>
      <c r="H84" s="159" t="s">
        <v>391</v>
      </c>
      <c r="I84" s="159"/>
      <c r="J84" s="159" t="s">
        <v>249</v>
      </c>
      <c r="K84" s="159" t="s">
        <v>250</v>
      </c>
      <c r="L84" s="159" t="s">
        <v>301</v>
      </c>
      <c r="M84" s="159" t="s">
        <v>392</v>
      </c>
      <c r="N84">
        <v>2</v>
      </c>
    </row>
    <row r="85" spans="1:14" ht="12.75" customHeight="1" outlineLevel="2" x14ac:dyDescent="0.2">
      <c r="A85" s="159" t="s">
        <v>476</v>
      </c>
      <c r="B85" s="159" t="s">
        <v>254</v>
      </c>
      <c r="C85" s="160" t="s">
        <v>255</v>
      </c>
      <c r="D85" s="160">
        <v>0</v>
      </c>
      <c r="E85" s="160" t="s">
        <v>255</v>
      </c>
      <c r="F85" s="160" t="s">
        <v>256</v>
      </c>
      <c r="G85" s="161">
        <f>IF($F$85="MANUAL",$D$85,IF($F$85="COMPUTED",$C$85,$E$85))</f>
        <v>0</v>
      </c>
      <c r="H85" s="159" t="s">
        <v>710</v>
      </c>
      <c r="I85" s="159" t="s">
        <v>258</v>
      </c>
      <c r="J85" s="159" t="s">
        <v>249</v>
      </c>
      <c r="K85" s="159"/>
      <c r="L85" s="159" t="s">
        <v>478</v>
      </c>
      <c r="M85" s="159" t="s">
        <v>711</v>
      </c>
      <c r="N85">
        <v>3</v>
      </c>
    </row>
    <row r="86" spans="1:14" ht="12.75" customHeight="1" outlineLevel="1" x14ac:dyDescent="0.2">
      <c r="A86" s="159" t="s">
        <v>315</v>
      </c>
      <c r="B86" s="159"/>
      <c r="C86" s="161"/>
      <c r="D86" s="160"/>
      <c r="E86" s="161"/>
      <c r="F86" s="161"/>
      <c r="G86" s="161"/>
      <c r="H86" s="159" t="s">
        <v>393</v>
      </c>
      <c r="I86" s="159"/>
      <c r="J86" s="159" t="s">
        <v>249</v>
      </c>
      <c r="K86" s="159" t="s">
        <v>250</v>
      </c>
      <c r="L86" s="159" t="s">
        <v>301</v>
      </c>
      <c r="M86" s="159" t="s">
        <v>394</v>
      </c>
      <c r="N86">
        <v>2</v>
      </c>
    </row>
    <row r="87" spans="1:14" ht="12.75" customHeight="1" outlineLevel="2" x14ac:dyDescent="0.2">
      <c r="A87" s="159" t="s">
        <v>476</v>
      </c>
      <c r="B87" s="159" t="s">
        <v>254</v>
      </c>
      <c r="C87" s="160" t="s">
        <v>255</v>
      </c>
      <c r="D87" s="160">
        <v>0</v>
      </c>
      <c r="E87" s="160" t="s">
        <v>255</v>
      </c>
      <c r="F87" s="160" t="s">
        <v>256</v>
      </c>
      <c r="G87" s="161">
        <f>IF($F$87="MANUAL",$D$87,IF($F$87="COMPUTED",$C$87,$E$87))</f>
        <v>0</v>
      </c>
      <c r="H87" s="159" t="s">
        <v>712</v>
      </c>
      <c r="I87" s="159" t="s">
        <v>258</v>
      </c>
      <c r="J87" s="159" t="s">
        <v>249</v>
      </c>
      <c r="K87" s="159"/>
      <c r="L87" s="159" t="s">
        <v>478</v>
      </c>
      <c r="M87" s="159" t="s">
        <v>713</v>
      </c>
      <c r="N87">
        <v>3</v>
      </c>
    </row>
    <row r="88" spans="1:14" ht="12.75" customHeight="1" outlineLevel="1" x14ac:dyDescent="0.2">
      <c r="A88" s="159" t="s">
        <v>318</v>
      </c>
      <c r="B88" s="159"/>
      <c r="C88" s="161"/>
      <c r="D88" s="160"/>
      <c r="E88" s="161"/>
      <c r="F88" s="161"/>
      <c r="G88" s="161"/>
      <c r="H88" s="159" t="s">
        <v>395</v>
      </c>
      <c r="I88" s="159"/>
      <c r="J88" s="159" t="s">
        <v>249</v>
      </c>
      <c r="K88" s="159" t="s">
        <v>250</v>
      </c>
      <c r="L88" s="159" t="s">
        <v>301</v>
      </c>
      <c r="M88" s="159" t="s">
        <v>396</v>
      </c>
      <c r="N88">
        <v>2</v>
      </c>
    </row>
    <row r="89" spans="1:14" ht="12.75" customHeight="1" outlineLevel="2" x14ac:dyDescent="0.2">
      <c r="A89" s="159" t="s">
        <v>476</v>
      </c>
      <c r="B89" s="159" t="s">
        <v>254</v>
      </c>
      <c r="C89" s="160" t="s">
        <v>255</v>
      </c>
      <c r="D89" s="160">
        <v>0.1</v>
      </c>
      <c r="E89" s="160" t="s">
        <v>255</v>
      </c>
      <c r="F89" s="160" t="s">
        <v>256</v>
      </c>
      <c r="G89" s="161">
        <f>IF($F$89="MANUAL",$D$89,IF($F$89="COMPUTED",$C$89,$E$89))</f>
        <v>0.1</v>
      </c>
      <c r="H89" s="159" t="s">
        <v>515</v>
      </c>
      <c r="I89" s="159" t="s">
        <v>258</v>
      </c>
      <c r="J89" s="159" t="s">
        <v>249</v>
      </c>
      <c r="K89" s="159"/>
      <c r="L89" s="159" t="s">
        <v>478</v>
      </c>
      <c r="M89" s="159" t="s">
        <v>516</v>
      </c>
      <c r="N89">
        <v>3</v>
      </c>
    </row>
    <row r="90" spans="1:14" ht="12.75" customHeight="1" x14ac:dyDescent="0.2">
      <c r="A90" s="159" t="s">
        <v>397</v>
      </c>
      <c r="B90" s="159" t="s">
        <v>398</v>
      </c>
      <c r="C90" s="161"/>
      <c r="D90" s="161"/>
      <c r="E90" s="161"/>
      <c r="F90" s="161"/>
      <c r="G90" s="161"/>
      <c r="H90" s="159" t="s">
        <v>398</v>
      </c>
      <c r="I90" s="159"/>
      <c r="J90" s="159" t="s">
        <v>249</v>
      </c>
      <c r="K90" s="159" t="s">
        <v>250</v>
      </c>
      <c r="L90" s="159" t="s">
        <v>251</v>
      </c>
      <c r="M90" s="159" t="s">
        <v>399</v>
      </c>
      <c r="N90">
        <v>1</v>
      </c>
    </row>
    <row r="91" spans="1:14" ht="12.75" customHeight="1" outlineLevel="1" x14ac:dyDescent="0.2">
      <c r="A91" s="159" t="s">
        <v>264</v>
      </c>
      <c r="B91" s="159" t="s">
        <v>265</v>
      </c>
      <c r="C91" s="160" t="s">
        <v>255</v>
      </c>
      <c r="D91" s="160">
        <v>0.6</v>
      </c>
      <c r="E91" s="160" t="s">
        <v>255</v>
      </c>
      <c r="F91" s="160" t="s">
        <v>256</v>
      </c>
      <c r="G91" s="161">
        <f>IF($F$91="MANUAL",$D$91,IF($F$91="COMPUTED",$C$91,$E$91))</f>
        <v>0.6</v>
      </c>
      <c r="H91" s="159" t="s">
        <v>400</v>
      </c>
      <c r="I91" s="159" t="s">
        <v>267</v>
      </c>
      <c r="J91" s="159" t="s">
        <v>249</v>
      </c>
      <c r="K91" s="159"/>
      <c r="L91" s="159" t="s">
        <v>259</v>
      </c>
      <c r="M91" s="159" t="s">
        <v>401</v>
      </c>
      <c r="N91">
        <v>2</v>
      </c>
    </row>
    <row r="92" spans="1:14" ht="12.75" customHeight="1" outlineLevel="1" x14ac:dyDescent="0.2">
      <c r="A92" s="159" t="s">
        <v>269</v>
      </c>
      <c r="B92" s="159" t="s">
        <v>270</v>
      </c>
      <c r="C92" s="160" t="s">
        <v>255</v>
      </c>
      <c r="D92" s="160">
        <v>0.8</v>
      </c>
      <c r="E92" s="160" t="s">
        <v>255</v>
      </c>
      <c r="F92" s="160" t="s">
        <v>256</v>
      </c>
      <c r="G92" s="161">
        <f>IF($F$92="MANUAL",$D$92,IF($F$92="COMPUTED",$C$92,$E$92))</f>
        <v>0.8</v>
      </c>
      <c r="H92" s="159" t="s">
        <v>402</v>
      </c>
      <c r="I92" s="159" t="s">
        <v>272</v>
      </c>
      <c r="J92" s="159" t="s">
        <v>249</v>
      </c>
      <c r="K92" s="159"/>
      <c r="L92" s="159" t="s">
        <v>259</v>
      </c>
      <c r="M92" s="159" t="s">
        <v>403</v>
      </c>
      <c r="N92">
        <v>2</v>
      </c>
    </row>
    <row r="93" spans="1:14" ht="12.75" customHeight="1" outlineLevel="1" x14ac:dyDescent="0.2">
      <c r="A93" s="159" t="s">
        <v>274</v>
      </c>
      <c r="B93" s="159" t="s">
        <v>275</v>
      </c>
      <c r="C93" s="160" t="s">
        <v>255</v>
      </c>
      <c r="D93" s="160">
        <v>0.2</v>
      </c>
      <c r="E93" s="160" t="s">
        <v>255</v>
      </c>
      <c r="F93" s="160" t="s">
        <v>256</v>
      </c>
      <c r="G93" s="161">
        <f>IF($F$93="MANUAL",$D$93,IF($F$93="COMPUTED",$C$93,$E$93))</f>
        <v>0.2</v>
      </c>
      <c r="H93" s="159" t="s">
        <v>404</v>
      </c>
      <c r="I93" s="159" t="s">
        <v>277</v>
      </c>
      <c r="J93" s="159" t="s">
        <v>249</v>
      </c>
      <c r="K93" s="159"/>
      <c r="L93" s="159" t="s">
        <v>259</v>
      </c>
      <c r="M93" s="159" t="s">
        <v>405</v>
      </c>
      <c r="N93">
        <v>2</v>
      </c>
    </row>
    <row r="94" spans="1:14" ht="12.75" customHeight="1" outlineLevel="1" x14ac:dyDescent="0.2">
      <c r="A94" s="159" t="s">
        <v>279</v>
      </c>
      <c r="B94" s="159" t="s">
        <v>280</v>
      </c>
      <c r="C94" s="160" t="s">
        <v>255</v>
      </c>
      <c r="D94" s="160">
        <v>0.4</v>
      </c>
      <c r="E94" s="160" t="s">
        <v>255</v>
      </c>
      <c r="F94" s="160" t="s">
        <v>256</v>
      </c>
      <c r="G94" s="161">
        <f>IF($F$94="MANUAL",$D$94,IF($F$94="COMPUTED",$C$94,$E$94))</f>
        <v>0.4</v>
      </c>
      <c r="H94" s="159" t="s">
        <v>406</v>
      </c>
      <c r="I94" s="159" t="s">
        <v>282</v>
      </c>
      <c r="J94" s="159" t="s">
        <v>249</v>
      </c>
      <c r="K94" s="159"/>
      <c r="L94" s="159" t="s">
        <v>259</v>
      </c>
      <c r="M94" s="159" t="s">
        <v>407</v>
      </c>
      <c r="N94">
        <v>2</v>
      </c>
    </row>
    <row r="95" spans="1:14" ht="12.75" customHeight="1" outlineLevel="1" x14ac:dyDescent="0.2">
      <c r="A95" s="159" t="s">
        <v>284</v>
      </c>
      <c r="B95" s="159" t="s">
        <v>285</v>
      </c>
      <c r="C95" s="160" t="s">
        <v>255</v>
      </c>
      <c r="D95" s="160">
        <v>0.4</v>
      </c>
      <c r="E95" s="160" t="s">
        <v>255</v>
      </c>
      <c r="F95" s="160" t="s">
        <v>256</v>
      </c>
      <c r="G95" s="161">
        <f>IF($F$95="MANUAL",$D$95,IF($F$95="COMPUTED",$C$95,$E$95))</f>
        <v>0.4</v>
      </c>
      <c r="H95" s="159" t="s">
        <v>408</v>
      </c>
      <c r="I95" s="159" t="s">
        <v>287</v>
      </c>
      <c r="J95" s="159" t="s">
        <v>249</v>
      </c>
      <c r="K95" s="159"/>
      <c r="L95" s="159" t="s">
        <v>259</v>
      </c>
      <c r="M95" s="159" t="s">
        <v>409</v>
      </c>
      <c r="N95">
        <v>2</v>
      </c>
    </row>
    <row r="96" spans="1:14" ht="12.75" customHeight="1" outlineLevel="1" x14ac:dyDescent="0.2">
      <c r="A96" s="159" t="s">
        <v>289</v>
      </c>
      <c r="B96" s="159" t="s">
        <v>290</v>
      </c>
      <c r="C96" s="160" t="s">
        <v>255</v>
      </c>
      <c r="D96" s="160">
        <v>0.4</v>
      </c>
      <c r="E96" s="160" t="s">
        <v>255</v>
      </c>
      <c r="F96" s="160" t="s">
        <v>256</v>
      </c>
      <c r="G96" s="161">
        <f>IF($F$96="MANUAL",$D$96,IF($F$96="COMPUTED",$C$96,$E$96))</f>
        <v>0.4</v>
      </c>
      <c r="H96" s="159" t="s">
        <v>410</v>
      </c>
      <c r="I96" s="159" t="s">
        <v>292</v>
      </c>
      <c r="J96" s="159" t="s">
        <v>249</v>
      </c>
      <c r="K96" s="159"/>
      <c r="L96" s="159" t="s">
        <v>259</v>
      </c>
      <c r="M96" s="159" t="s">
        <v>411</v>
      </c>
      <c r="N96">
        <v>2</v>
      </c>
    </row>
    <row r="97" spans="1:14" ht="12.75" customHeight="1" outlineLevel="1" x14ac:dyDescent="0.2">
      <c r="A97" s="159" t="s">
        <v>294</v>
      </c>
      <c r="B97" s="159" t="s">
        <v>295</v>
      </c>
      <c r="C97" s="160" t="s">
        <v>255</v>
      </c>
      <c r="D97" s="160">
        <v>0.6</v>
      </c>
      <c r="E97" s="160" t="s">
        <v>255</v>
      </c>
      <c r="F97" s="160" t="s">
        <v>256</v>
      </c>
      <c r="G97" s="161">
        <f>IF($F$97="MANUAL",$D$97,IF($F$97="COMPUTED",$C$97,$E$97))</f>
        <v>0.6</v>
      </c>
      <c r="H97" s="159" t="s">
        <v>412</v>
      </c>
      <c r="I97" s="159" t="s">
        <v>297</v>
      </c>
      <c r="J97" s="159" t="s">
        <v>249</v>
      </c>
      <c r="K97" s="159"/>
      <c r="L97" s="159" t="s">
        <v>259</v>
      </c>
      <c r="M97" s="159" t="s">
        <v>413</v>
      </c>
      <c r="N97">
        <v>2</v>
      </c>
    </row>
    <row r="98" spans="1:14" ht="12.75" customHeight="1" outlineLevel="1" x14ac:dyDescent="0.2">
      <c r="A98" s="159" t="s">
        <v>299</v>
      </c>
      <c r="B98" s="159"/>
      <c r="C98" s="161"/>
      <c r="D98" s="160"/>
      <c r="E98" s="161"/>
      <c r="F98" s="161"/>
      <c r="G98" s="161"/>
      <c r="H98" s="159" t="s">
        <v>414</v>
      </c>
      <c r="I98" s="159"/>
      <c r="J98" s="159" t="s">
        <v>249</v>
      </c>
      <c r="K98" s="159" t="s">
        <v>250</v>
      </c>
      <c r="L98" s="159" t="s">
        <v>301</v>
      </c>
      <c r="M98" s="159" t="s">
        <v>415</v>
      </c>
      <c r="N98">
        <v>2</v>
      </c>
    </row>
    <row r="99" spans="1:14" ht="12.75" customHeight="1" outlineLevel="2" x14ac:dyDescent="0.2">
      <c r="A99" s="159" t="s">
        <v>476</v>
      </c>
      <c r="B99" s="159" t="s">
        <v>254</v>
      </c>
      <c r="C99" s="160" t="s">
        <v>255</v>
      </c>
      <c r="D99" s="160" t="s">
        <v>255</v>
      </c>
      <c r="E99" s="160">
        <v>0.2</v>
      </c>
      <c r="F99" s="160" t="s">
        <v>475</v>
      </c>
      <c r="G99" s="161">
        <f>IF($F$99="MANUAL",$D$99,IF($F$99="COMPUTED",$C$99,$E$99))</f>
        <v>0.2</v>
      </c>
      <c r="H99" s="159" t="s">
        <v>517</v>
      </c>
      <c r="I99" s="159" t="s">
        <v>258</v>
      </c>
      <c r="J99" s="159" t="s">
        <v>249</v>
      </c>
      <c r="K99" s="159"/>
      <c r="L99" s="159" t="s">
        <v>478</v>
      </c>
      <c r="M99" s="159" t="s">
        <v>518</v>
      </c>
      <c r="N99">
        <v>3</v>
      </c>
    </row>
    <row r="100" spans="1:14" ht="12.75" customHeight="1" outlineLevel="1" x14ac:dyDescent="0.2">
      <c r="A100" s="159" t="s">
        <v>303</v>
      </c>
      <c r="B100" s="159"/>
      <c r="C100" s="161"/>
      <c r="D100" s="160"/>
      <c r="E100" s="161"/>
      <c r="F100" s="161"/>
      <c r="G100" s="161"/>
      <c r="H100" s="159" t="s">
        <v>416</v>
      </c>
      <c r="I100" s="159"/>
      <c r="J100" s="159" t="s">
        <v>249</v>
      </c>
      <c r="K100" s="159" t="s">
        <v>250</v>
      </c>
      <c r="L100" s="159" t="s">
        <v>301</v>
      </c>
      <c r="M100" s="159" t="s">
        <v>417</v>
      </c>
      <c r="N100">
        <v>2</v>
      </c>
    </row>
    <row r="101" spans="1:14" ht="12.75" customHeight="1" outlineLevel="2" x14ac:dyDescent="0.2">
      <c r="A101" s="159" t="s">
        <v>476</v>
      </c>
      <c r="B101" s="159" t="s">
        <v>254</v>
      </c>
      <c r="C101" s="160" t="s">
        <v>255</v>
      </c>
      <c r="D101" s="160">
        <v>0.15</v>
      </c>
      <c r="E101" s="160" t="s">
        <v>255</v>
      </c>
      <c r="F101" s="160" t="s">
        <v>256</v>
      </c>
      <c r="G101" s="161">
        <f>IF($F$101="MANUAL",$D$101,IF($F$101="COMPUTED",$C$101,$E$101))</f>
        <v>0.15</v>
      </c>
      <c r="H101" s="159" t="s">
        <v>519</v>
      </c>
      <c r="I101" s="159" t="s">
        <v>258</v>
      </c>
      <c r="J101" s="159" t="s">
        <v>249</v>
      </c>
      <c r="K101" s="159"/>
      <c r="L101" s="159" t="s">
        <v>478</v>
      </c>
      <c r="M101" s="159" t="s">
        <v>520</v>
      </c>
      <c r="N101">
        <v>3</v>
      </c>
    </row>
    <row r="102" spans="1:14" ht="12.75" customHeight="1" outlineLevel="1" x14ac:dyDescent="0.2">
      <c r="A102" s="159" t="s">
        <v>306</v>
      </c>
      <c r="B102" s="159"/>
      <c r="C102" s="161"/>
      <c r="D102" s="160"/>
      <c r="E102" s="161"/>
      <c r="F102" s="161"/>
      <c r="G102" s="161"/>
      <c r="H102" s="159" t="s">
        <v>418</v>
      </c>
      <c r="I102" s="159"/>
      <c r="J102" s="159" t="s">
        <v>249</v>
      </c>
      <c r="K102" s="159" t="s">
        <v>250</v>
      </c>
      <c r="L102" s="159" t="s">
        <v>301</v>
      </c>
      <c r="M102" s="159" t="s">
        <v>419</v>
      </c>
      <c r="N102">
        <v>2</v>
      </c>
    </row>
    <row r="103" spans="1:14" ht="12.75" customHeight="1" outlineLevel="2" x14ac:dyDescent="0.2">
      <c r="A103" s="159" t="s">
        <v>476</v>
      </c>
      <c r="B103" s="159" t="s">
        <v>254</v>
      </c>
      <c r="C103" s="160" t="s">
        <v>255</v>
      </c>
      <c r="D103" s="160">
        <v>0.2</v>
      </c>
      <c r="E103" s="160" t="s">
        <v>255</v>
      </c>
      <c r="F103" s="160" t="s">
        <v>256</v>
      </c>
      <c r="G103" s="161">
        <f>IF($F$103="MANUAL",$D$103,IF($F$103="COMPUTED",$C$103,$E$103))</f>
        <v>0.2</v>
      </c>
      <c r="H103" s="159" t="s">
        <v>714</v>
      </c>
      <c r="I103" s="159" t="s">
        <v>258</v>
      </c>
      <c r="J103" s="159" t="s">
        <v>249</v>
      </c>
      <c r="K103" s="159"/>
      <c r="L103" s="159" t="s">
        <v>478</v>
      </c>
      <c r="M103" s="159" t="s">
        <v>715</v>
      </c>
      <c r="N103">
        <v>3</v>
      </c>
    </row>
    <row r="104" spans="1:14" ht="12.75" customHeight="1" outlineLevel="1" x14ac:dyDescent="0.2">
      <c r="A104" s="159" t="s">
        <v>309</v>
      </c>
      <c r="B104" s="159"/>
      <c r="C104" s="161"/>
      <c r="D104" s="160"/>
      <c r="E104" s="161"/>
      <c r="F104" s="161"/>
      <c r="G104" s="161"/>
      <c r="H104" s="159" t="s">
        <v>420</v>
      </c>
      <c r="I104" s="159"/>
      <c r="J104" s="159" t="s">
        <v>249</v>
      </c>
      <c r="K104" s="159" t="s">
        <v>250</v>
      </c>
      <c r="L104" s="159" t="s">
        <v>301</v>
      </c>
      <c r="M104" s="159" t="s">
        <v>421</v>
      </c>
      <c r="N104">
        <v>2</v>
      </c>
    </row>
    <row r="105" spans="1:14" ht="12.75" customHeight="1" outlineLevel="2" x14ac:dyDescent="0.2">
      <c r="A105" s="159" t="s">
        <v>476</v>
      </c>
      <c r="B105" s="159" t="s">
        <v>254</v>
      </c>
      <c r="C105" s="160" t="s">
        <v>255</v>
      </c>
      <c r="D105" s="160">
        <v>0.05</v>
      </c>
      <c r="E105" s="160" t="s">
        <v>255</v>
      </c>
      <c r="F105" s="160" t="s">
        <v>256</v>
      </c>
      <c r="G105" s="161">
        <f>IF($F$105="MANUAL",$D$105,IF($F$105="COMPUTED",$C$105,$E$105))</f>
        <v>0.05</v>
      </c>
      <c r="H105" s="159" t="s">
        <v>521</v>
      </c>
      <c r="I105" s="159" t="s">
        <v>258</v>
      </c>
      <c r="J105" s="159" t="s">
        <v>249</v>
      </c>
      <c r="K105" s="159"/>
      <c r="L105" s="159" t="s">
        <v>478</v>
      </c>
      <c r="M105" s="159" t="s">
        <v>522</v>
      </c>
      <c r="N105">
        <v>3</v>
      </c>
    </row>
    <row r="106" spans="1:14" ht="12.75" customHeight="1" outlineLevel="1" x14ac:dyDescent="0.2">
      <c r="A106" s="159" t="s">
        <v>312</v>
      </c>
      <c r="B106" s="159"/>
      <c r="C106" s="161"/>
      <c r="D106" s="160"/>
      <c r="E106" s="161"/>
      <c r="F106" s="161"/>
      <c r="G106" s="161"/>
      <c r="H106" s="159" t="s">
        <v>422</v>
      </c>
      <c r="I106" s="159"/>
      <c r="J106" s="159" t="s">
        <v>249</v>
      </c>
      <c r="K106" s="159" t="s">
        <v>250</v>
      </c>
      <c r="L106" s="159" t="s">
        <v>301</v>
      </c>
      <c r="M106" s="159" t="s">
        <v>423</v>
      </c>
      <c r="N106">
        <v>2</v>
      </c>
    </row>
    <row r="107" spans="1:14" ht="12.75" customHeight="1" outlineLevel="2" x14ac:dyDescent="0.2">
      <c r="A107" s="159" t="s">
        <v>476</v>
      </c>
      <c r="B107" s="159" t="s">
        <v>254</v>
      </c>
      <c r="C107" s="160" t="s">
        <v>255</v>
      </c>
      <c r="D107" s="160">
        <v>0</v>
      </c>
      <c r="E107" s="160" t="s">
        <v>255</v>
      </c>
      <c r="F107" s="160" t="s">
        <v>256</v>
      </c>
      <c r="G107" s="161">
        <f>IF($F$107="MANUAL",$D$107,IF($F$107="COMPUTED",$C$107,$E$107))</f>
        <v>0</v>
      </c>
      <c r="H107" s="159" t="s">
        <v>716</v>
      </c>
      <c r="I107" s="159" t="s">
        <v>258</v>
      </c>
      <c r="J107" s="159" t="s">
        <v>249</v>
      </c>
      <c r="K107" s="159"/>
      <c r="L107" s="159" t="s">
        <v>478</v>
      </c>
      <c r="M107" s="159" t="s">
        <v>717</v>
      </c>
      <c r="N107">
        <v>3</v>
      </c>
    </row>
    <row r="108" spans="1:14" ht="12.75" customHeight="1" outlineLevel="1" x14ac:dyDescent="0.2">
      <c r="A108" s="159" t="s">
        <v>315</v>
      </c>
      <c r="B108" s="159"/>
      <c r="C108" s="161"/>
      <c r="D108" s="160"/>
      <c r="E108" s="161"/>
      <c r="F108" s="161"/>
      <c r="G108" s="161"/>
      <c r="H108" s="159" t="s">
        <v>424</v>
      </c>
      <c r="I108" s="159"/>
      <c r="J108" s="159" t="s">
        <v>249</v>
      </c>
      <c r="K108" s="159" t="s">
        <v>250</v>
      </c>
      <c r="L108" s="159" t="s">
        <v>301</v>
      </c>
      <c r="M108" s="159" t="s">
        <v>425</v>
      </c>
      <c r="N108">
        <v>2</v>
      </c>
    </row>
    <row r="109" spans="1:14" ht="12.75" customHeight="1" outlineLevel="2" x14ac:dyDescent="0.2">
      <c r="A109" s="159" t="s">
        <v>476</v>
      </c>
      <c r="B109" s="159" t="s">
        <v>254</v>
      </c>
      <c r="C109" s="160" t="s">
        <v>255</v>
      </c>
      <c r="D109" s="160">
        <v>0.25</v>
      </c>
      <c r="E109" s="160" t="s">
        <v>255</v>
      </c>
      <c r="F109" s="160" t="s">
        <v>256</v>
      </c>
      <c r="G109" s="161">
        <f>IF($F$109="MANUAL",$D$109,IF($F$109="COMPUTED",$C$109,$E$109))</f>
        <v>0.25</v>
      </c>
      <c r="H109" s="159" t="s">
        <v>523</v>
      </c>
      <c r="I109" s="159" t="s">
        <v>258</v>
      </c>
      <c r="J109" s="159" t="s">
        <v>249</v>
      </c>
      <c r="K109" s="159"/>
      <c r="L109" s="159" t="s">
        <v>478</v>
      </c>
      <c r="M109" s="159" t="s">
        <v>524</v>
      </c>
      <c r="N109">
        <v>3</v>
      </c>
    </row>
    <row r="110" spans="1:14" ht="12.75" customHeight="1" outlineLevel="1" x14ac:dyDescent="0.2">
      <c r="A110" s="159" t="s">
        <v>318</v>
      </c>
      <c r="B110" s="159"/>
      <c r="C110" s="161"/>
      <c r="D110" s="160"/>
      <c r="E110" s="161"/>
      <c r="F110" s="161"/>
      <c r="G110" s="161"/>
      <c r="H110" s="159" t="s">
        <v>426</v>
      </c>
      <c r="I110" s="159"/>
      <c r="J110" s="159" t="s">
        <v>249</v>
      </c>
      <c r="K110" s="159" t="s">
        <v>250</v>
      </c>
      <c r="L110" s="159" t="s">
        <v>301</v>
      </c>
      <c r="M110" s="159" t="s">
        <v>427</v>
      </c>
      <c r="N110">
        <v>2</v>
      </c>
    </row>
    <row r="111" spans="1:14" ht="12.75" customHeight="1" outlineLevel="2" x14ac:dyDescent="0.2">
      <c r="A111" s="159" t="s">
        <v>476</v>
      </c>
      <c r="B111" s="159" t="s">
        <v>254</v>
      </c>
      <c r="C111" s="160" t="s">
        <v>255</v>
      </c>
      <c r="D111" s="160">
        <v>0.15</v>
      </c>
      <c r="E111" s="160" t="s">
        <v>255</v>
      </c>
      <c r="F111" s="160" t="s">
        <v>256</v>
      </c>
      <c r="G111" s="161">
        <f>IF($F$111="MANUAL",$D$111,IF($F$111="COMPUTED",$C$111,$E$111))</f>
        <v>0.15</v>
      </c>
      <c r="H111" s="159" t="s">
        <v>525</v>
      </c>
      <c r="I111" s="159" t="s">
        <v>258</v>
      </c>
      <c r="J111" s="159" t="s">
        <v>249</v>
      </c>
      <c r="K111" s="159"/>
      <c r="L111" s="159" t="s">
        <v>478</v>
      </c>
      <c r="M111" s="159" t="s">
        <v>526</v>
      </c>
      <c r="N111">
        <v>3</v>
      </c>
    </row>
    <row r="112" spans="1:14" ht="12.75" customHeight="1" x14ac:dyDescent="0.2">
      <c r="A112" s="159" t="s">
        <v>458</v>
      </c>
      <c r="B112" s="159" t="s">
        <v>459</v>
      </c>
      <c r="C112" s="161"/>
      <c r="D112" s="161"/>
      <c r="E112" s="161"/>
      <c r="F112" s="161"/>
      <c r="G112" s="161"/>
      <c r="H112" s="159" t="s">
        <v>459</v>
      </c>
      <c r="I112" s="159"/>
      <c r="J112" s="159" t="s">
        <v>249</v>
      </c>
      <c r="K112" s="159" t="s">
        <v>250</v>
      </c>
      <c r="L112" s="159" t="s">
        <v>251</v>
      </c>
      <c r="M112" s="159" t="s">
        <v>460</v>
      </c>
      <c r="N112">
        <v>1</v>
      </c>
    </row>
    <row r="113" spans="1:14" ht="12.75" customHeight="1" outlineLevel="1" x14ac:dyDescent="0.2">
      <c r="A113" s="159" t="s">
        <v>253</v>
      </c>
      <c r="B113" s="159" t="s">
        <v>254</v>
      </c>
      <c r="C113" s="160" t="s">
        <v>255</v>
      </c>
      <c r="D113" s="160">
        <v>0</v>
      </c>
      <c r="E113" s="160" t="s">
        <v>255</v>
      </c>
      <c r="F113" s="160" t="s">
        <v>256</v>
      </c>
      <c r="G113" s="161">
        <f>IF($F$113="MANUAL",$D$113,IF($F$113="COMPUTED",$C$113,$E$113))</f>
        <v>0</v>
      </c>
      <c r="H113" s="159" t="s">
        <v>461</v>
      </c>
      <c r="I113" s="159" t="s">
        <v>258</v>
      </c>
      <c r="J113" s="159" t="s">
        <v>249</v>
      </c>
      <c r="K113" s="159"/>
      <c r="L113" s="159" t="s">
        <v>259</v>
      </c>
      <c r="M113" s="159" t="s">
        <v>462</v>
      </c>
      <c r="N113">
        <v>2</v>
      </c>
    </row>
    <row r="114" spans="1:14" ht="12.75" customHeight="1" x14ac:dyDescent="0.2">
      <c r="A114" s="159" t="s">
        <v>527</v>
      </c>
      <c r="B114" s="159" t="s">
        <v>428</v>
      </c>
      <c r="C114" s="161"/>
      <c r="D114" s="161"/>
      <c r="E114" s="161"/>
      <c r="F114" s="161"/>
      <c r="G114" s="161"/>
      <c r="H114" s="159" t="s">
        <v>428</v>
      </c>
      <c r="I114" s="159"/>
      <c r="J114" s="159" t="s">
        <v>249</v>
      </c>
      <c r="K114" s="159" t="s">
        <v>250</v>
      </c>
      <c r="L114" s="159" t="s">
        <v>251</v>
      </c>
      <c r="M114" s="159" t="s">
        <v>429</v>
      </c>
      <c r="N114">
        <v>1</v>
      </c>
    </row>
    <row r="115" spans="1:14" ht="12.75" customHeight="1" outlineLevel="1" x14ac:dyDescent="0.2">
      <c r="A115" s="159" t="s">
        <v>264</v>
      </c>
      <c r="B115" s="159" t="s">
        <v>265</v>
      </c>
      <c r="C115" s="160" t="s">
        <v>255</v>
      </c>
      <c r="D115" s="160">
        <v>0.6</v>
      </c>
      <c r="E115" s="160" t="s">
        <v>255</v>
      </c>
      <c r="F115" s="160" t="s">
        <v>256</v>
      </c>
      <c r="G115" s="161">
        <f>IF($F$115="MANUAL",$D$115,IF($F$115="COMPUTED",$C$115,$E$115))</f>
        <v>0.6</v>
      </c>
      <c r="H115" s="159" t="s">
        <v>430</v>
      </c>
      <c r="I115" s="159" t="s">
        <v>267</v>
      </c>
      <c r="J115" s="159" t="s">
        <v>249</v>
      </c>
      <c r="K115" s="159"/>
      <c r="L115" s="159" t="s">
        <v>259</v>
      </c>
      <c r="M115" s="159" t="s">
        <v>431</v>
      </c>
      <c r="N115">
        <v>2</v>
      </c>
    </row>
    <row r="116" spans="1:14" ht="12.75" customHeight="1" outlineLevel="1" x14ac:dyDescent="0.2">
      <c r="A116" s="159" t="s">
        <v>269</v>
      </c>
      <c r="B116" s="159" t="s">
        <v>270</v>
      </c>
      <c r="C116" s="160" t="s">
        <v>255</v>
      </c>
      <c r="D116" s="160">
        <v>0.2</v>
      </c>
      <c r="E116" s="160" t="s">
        <v>255</v>
      </c>
      <c r="F116" s="160" t="s">
        <v>256</v>
      </c>
      <c r="G116" s="161">
        <f>IF($F$116="MANUAL",$D$116,IF($F$116="COMPUTED",$C$116,$E$116))</f>
        <v>0.2</v>
      </c>
      <c r="H116" s="159" t="s">
        <v>432</v>
      </c>
      <c r="I116" s="159" t="s">
        <v>272</v>
      </c>
      <c r="J116" s="159" t="s">
        <v>249</v>
      </c>
      <c r="K116" s="159"/>
      <c r="L116" s="159" t="s">
        <v>259</v>
      </c>
      <c r="M116" s="159" t="s">
        <v>433</v>
      </c>
      <c r="N116">
        <v>2</v>
      </c>
    </row>
    <row r="117" spans="1:14" ht="12.75" customHeight="1" outlineLevel="1" x14ac:dyDescent="0.2">
      <c r="A117" s="159" t="s">
        <v>274</v>
      </c>
      <c r="B117" s="159" t="s">
        <v>275</v>
      </c>
      <c r="C117" s="160" t="s">
        <v>255</v>
      </c>
      <c r="D117" s="160">
        <v>0.2</v>
      </c>
      <c r="E117" s="160" t="s">
        <v>255</v>
      </c>
      <c r="F117" s="160" t="s">
        <v>256</v>
      </c>
      <c r="G117" s="161">
        <f>IF($F$117="MANUAL",$D$117,IF($F$117="COMPUTED",$C$117,$E$117))</f>
        <v>0.2</v>
      </c>
      <c r="H117" s="159" t="s">
        <v>434</v>
      </c>
      <c r="I117" s="159" t="s">
        <v>277</v>
      </c>
      <c r="J117" s="159" t="s">
        <v>249</v>
      </c>
      <c r="K117" s="159"/>
      <c r="L117" s="159" t="s">
        <v>259</v>
      </c>
      <c r="M117" s="159" t="s">
        <v>435</v>
      </c>
      <c r="N117">
        <v>2</v>
      </c>
    </row>
    <row r="118" spans="1:14" ht="12.75" customHeight="1" outlineLevel="1" x14ac:dyDescent="0.2">
      <c r="A118" s="159" t="s">
        <v>279</v>
      </c>
      <c r="B118" s="159" t="s">
        <v>280</v>
      </c>
      <c r="C118" s="160" t="s">
        <v>255</v>
      </c>
      <c r="D118" s="160">
        <v>0.4</v>
      </c>
      <c r="E118" s="160" t="s">
        <v>255</v>
      </c>
      <c r="F118" s="160" t="s">
        <v>256</v>
      </c>
      <c r="G118" s="161">
        <f>IF($F$118="MANUAL",$D$118,IF($F$118="COMPUTED",$C$118,$E$118))</f>
        <v>0.4</v>
      </c>
      <c r="H118" s="159" t="s">
        <v>436</v>
      </c>
      <c r="I118" s="159" t="s">
        <v>282</v>
      </c>
      <c r="J118" s="159" t="s">
        <v>249</v>
      </c>
      <c r="K118" s="159"/>
      <c r="L118" s="159" t="s">
        <v>259</v>
      </c>
      <c r="M118" s="159" t="s">
        <v>437</v>
      </c>
      <c r="N118">
        <v>2</v>
      </c>
    </row>
    <row r="119" spans="1:14" ht="12.75" customHeight="1" outlineLevel="1" x14ac:dyDescent="0.2">
      <c r="A119" s="159" t="s">
        <v>284</v>
      </c>
      <c r="B119" s="159" t="s">
        <v>285</v>
      </c>
      <c r="C119" s="160" t="s">
        <v>255</v>
      </c>
      <c r="D119" s="160">
        <v>0.6</v>
      </c>
      <c r="E119" s="160" t="s">
        <v>255</v>
      </c>
      <c r="F119" s="160" t="s">
        <v>256</v>
      </c>
      <c r="G119" s="161">
        <f>IF($F$119="MANUAL",$D$119,IF($F$119="COMPUTED",$C$119,$E$119))</f>
        <v>0.6</v>
      </c>
      <c r="H119" s="159" t="s">
        <v>438</v>
      </c>
      <c r="I119" s="159" t="s">
        <v>287</v>
      </c>
      <c r="J119" s="159" t="s">
        <v>249</v>
      </c>
      <c r="K119" s="159"/>
      <c r="L119" s="159" t="s">
        <v>259</v>
      </c>
      <c r="M119" s="159" t="s">
        <v>439</v>
      </c>
      <c r="N119">
        <v>2</v>
      </c>
    </row>
    <row r="120" spans="1:14" ht="12.75" customHeight="1" outlineLevel="1" x14ac:dyDescent="0.2">
      <c r="A120" s="159" t="s">
        <v>289</v>
      </c>
      <c r="B120" s="159" t="s">
        <v>290</v>
      </c>
      <c r="C120" s="160" t="s">
        <v>255</v>
      </c>
      <c r="D120" s="160">
        <v>0.4</v>
      </c>
      <c r="E120" s="160" t="s">
        <v>255</v>
      </c>
      <c r="F120" s="160" t="s">
        <v>256</v>
      </c>
      <c r="G120" s="161">
        <f>IF($F$120="MANUAL",$D$120,IF($F$120="COMPUTED",$C$120,$E$120))</f>
        <v>0.4</v>
      </c>
      <c r="H120" s="159" t="s">
        <v>440</v>
      </c>
      <c r="I120" s="159" t="s">
        <v>292</v>
      </c>
      <c r="J120" s="159" t="s">
        <v>249</v>
      </c>
      <c r="K120" s="159"/>
      <c r="L120" s="159" t="s">
        <v>259</v>
      </c>
      <c r="M120" s="159" t="s">
        <v>441</v>
      </c>
      <c r="N120">
        <v>2</v>
      </c>
    </row>
    <row r="121" spans="1:14" ht="12.75" customHeight="1" outlineLevel="1" x14ac:dyDescent="0.2">
      <c r="A121" s="159" t="s">
        <v>294</v>
      </c>
      <c r="B121" s="159" t="s">
        <v>295</v>
      </c>
      <c r="C121" s="160" t="s">
        <v>255</v>
      </c>
      <c r="D121" s="160">
        <v>0.2</v>
      </c>
      <c r="E121" s="160" t="s">
        <v>255</v>
      </c>
      <c r="F121" s="160" t="s">
        <v>256</v>
      </c>
      <c r="G121" s="161">
        <f>IF($F$121="MANUAL",$D$121,IF($F$121="COMPUTED",$C$121,$E$121))</f>
        <v>0.2</v>
      </c>
      <c r="H121" s="159" t="s">
        <v>442</v>
      </c>
      <c r="I121" s="159" t="s">
        <v>297</v>
      </c>
      <c r="J121" s="159" t="s">
        <v>249</v>
      </c>
      <c r="K121" s="159"/>
      <c r="L121" s="159" t="s">
        <v>259</v>
      </c>
      <c r="M121" s="159" t="s">
        <v>443</v>
      </c>
      <c r="N121">
        <v>2</v>
      </c>
    </row>
    <row r="122" spans="1:14" ht="12.75" customHeight="1" outlineLevel="1" x14ac:dyDescent="0.2">
      <c r="A122" s="159" t="s">
        <v>299</v>
      </c>
      <c r="B122" s="159"/>
      <c r="C122" s="161"/>
      <c r="D122" s="160"/>
      <c r="E122" s="161"/>
      <c r="F122" s="161"/>
      <c r="G122" s="161"/>
      <c r="H122" s="159" t="s">
        <v>444</v>
      </c>
      <c r="I122" s="159"/>
      <c r="J122" s="159" t="s">
        <v>249</v>
      </c>
      <c r="K122" s="159" t="s">
        <v>250</v>
      </c>
      <c r="L122" s="159" t="s">
        <v>301</v>
      </c>
      <c r="M122" s="159" t="s">
        <v>445</v>
      </c>
      <c r="N122">
        <v>2</v>
      </c>
    </row>
    <row r="123" spans="1:14" ht="12.75" customHeight="1" outlineLevel="2" x14ac:dyDescent="0.2">
      <c r="A123" s="159" t="s">
        <v>476</v>
      </c>
      <c r="B123" s="159" t="s">
        <v>254</v>
      </c>
      <c r="C123" s="160" t="s">
        <v>255</v>
      </c>
      <c r="D123" s="160" t="s">
        <v>255</v>
      </c>
      <c r="E123" s="160">
        <v>0.15</v>
      </c>
      <c r="F123" s="160" t="s">
        <v>475</v>
      </c>
      <c r="G123" s="161">
        <f>IF($F$123="MANUAL",$D$123,IF($F$123="COMPUTED",$C$123,$E$123))</f>
        <v>0.15</v>
      </c>
      <c r="H123" s="159" t="s">
        <v>528</v>
      </c>
      <c r="I123" s="159" t="s">
        <v>258</v>
      </c>
      <c r="J123" s="159" t="s">
        <v>249</v>
      </c>
      <c r="K123" s="159"/>
      <c r="L123" s="159" t="s">
        <v>478</v>
      </c>
      <c r="M123" s="159" t="s">
        <v>529</v>
      </c>
      <c r="N123">
        <v>3</v>
      </c>
    </row>
    <row r="124" spans="1:14" ht="12.75" customHeight="1" outlineLevel="1" x14ac:dyDescent="0.2">
      <c r="A124" s="159" t="s">
        <v>303</v>
      </c>
      <c r="B124" s="159"/>
      <c r="C124" s="161"/>
      <c r="D124" s="160"/>
      <c r="E124" s="161"/>
      <c r="F124" s="161"/>
      <c r="G124" s="161"/>
      <c r="H124" s="159" t="s">
        <v>446</v>
      </c>
      <c r="I124" s="159"/>
      <c r="J124" s="159" t="s">
        <v>249</v>
      </c>
      <c r="K124" s="159" t="s">
        <v>250</v>
      </c>
      <c r="L124" s="159" t="s">
        <v>301</v>
      </c>
      <c r="M124" s="159" t="s">
        <v>447</v>
      </c>
      <c r="N124">
        <v>2</v>
      </c>
    </row>
    <row r="125" spans="1:14" ht="12.75" customHeight="1" outlineLevel="2" x14ac:dyDescent="0.2">
      <c r="A125" s="159" t="s">
        <v>476</v>
      </c>
      <c r="B125" s="159" t="s">
        <v>254</v>
      </c>
      <c r="C125" s="160" t="s">
        <v>255</v>
      </c>
      <c r="D125" s="160">
        <v>0</v>
      </c>
      <c r="E125" s="160" t="s">
        <v>255</v>
      </c>
      <c r="F125" s="160" t="s">
        <v>256</v>
      </c>
      <c r="G125" s="161">
        <f>IF($F$125="MANUAL",$D$125,IF($F$125="COMPUTED",$C$125,$E$125))</f>
        <v>0</v>
      </c>
      <c r="H125" s="159" t="s">
        <v>718</v>
      </c>
      <c r="I125" s="159" t="s">
        <v>258</v>
      </c>
      <c r="J125" s="159" t="s">
        <v>249</v>
      </c>
      <c r="K125" s="159"/>
      <c r="L125" s="159" t="s">
        <v>478</v>
      </c>
      <c r="M125" s="159" t="s">
        <v>719</v>
      </c>
      <c r="N125">
        <v>3</v>
      </c>
    </row>
    <row r="126" spans="1:14" ht="12.75" customHeight="1" outlineLevel="1" x14ac:dyDescent="0.2">
      <c r="A126" s="159" t="s">
        <v>306</v>
      </c>
      <c r="B126" s="159"/>
      <c r="C126" s="161"/>
      <c r="D126" s="160"/>
      <c r="E126" s="161"/>
      <c r="F126" s="161"/>
      <c r="G126" s="161"/>
      <c r="H126" s="159" t="s">
        <v>448</v>
      </c>
      <c r="I126" s="159"/>
      <c r="J126" s="159" t="s">
        <v>249</v>
      </c>
      <c r="K126" s="159" t="s">
        <v>250</v>
      </c>
      <c r="L126" s="159" t="s">
        <v>301</v>
      </c>
      <c r="M126" s="159" t="s">
        <v>449</v>
      </c>
      <c r="N126">
        <v>2</v>
      </c>
    </row>
    <row r="127" spans="1:14" ht="12.75" customHeight="1" outlineLevel="2" x14ac:dyDescent="0.2">
      <c r="A127" s="159" t="s">
        <v>476</v>
      </c>
      <c r="B127" s="159" t="s">
        <v>254</v>
      </c>
      <c r="C127" s="160" t="s">
        <v>255</v>
      </c>
      <c r="D127" s="160">
        <v>0.15</v>
      </c>
      <c r="E127" s="160" t="s">
        <v>255</v>
      </c>
      <c r="F127" s="160" t="s">
        <v>256</v>
      </c>
      <c r="G127" s="161">
        <f>IF($F$127="MANUAL",$D$127,IF($F$127="COMPUTED",$C$127,$E$127))</f>
        <v>0.15</v>
      </c>
      <c r="H127" s="159" t="s">
        <v>530</v>
      </c>
      <c r="I127" s="159" t="s">
        <v>258</v>
      </c>
      <c r="J127" s="159" t="s">
        <v>249</v>
      </c>
      <c r="K127" s="159"/>
      <c r="L127" s="159" t="s">
        <v>478</v>
      </c>
      <c r="M127" s="159" t="s">
        <v>531</v>
      </c>
      <c r="N127">
        <v>3</v>
      </c>
    </row>
    <row r="128" spans="1:14" ht="12.75" customHeight="1" outlineLevel="1" x14ac:dyDescent="0.2">
      <c r="A128" s="159" t="s">
        <v>309</v>
      </c>
      <c r="B128" s="159"/>
      <c r="C128" s="161"/>
      <c r="D128" s="160"/>
      <c r="E128" s="161"/>
      <c r="F128" s="161"/>
      <c r="G128" s="161"/>
      <c r="H128" s="159" t="s">
        <v>450</v>
      </c>
      <c r="I128" s="159"/>
      <c r="J128" s="159" t="s">
        <v>249</v>
      </c>
      <c r="K128" s="159" t="s">
        <v>250</v>
      </c>
      <c r="L128" s="159" t="s">
        <v>301</v>
      </c>
      <c r="M128" s="159" t="s">
        <v>451</v>
      </c>
      <c r="N128">
        <v>2</v>
      </c>
    </row>
    <row r="129" spans="1:14" ht="12.75" customHeight="1" outlineLevel="2" x14ac:dyDescent="0.2">
      <c r="A129" s="159" t="s">
        <v>476</v>
      </c>
      <c r="B129" s="159" t="s">
        <v>254</v>
      </c>
      <c r="C129" s="160" t="s">
        <v>255</v>
      </c>
      <c r="D129" s="160">
        <v>0</v>
      </c>
      <c r="E129" s="160" t="s">
        <v>255</v>
      </c>
      <c r="F129" s="160" t="s">
        <v>256</v>
      </c>
      <c r="G129" s="161">
        <f>IF($F$129="MANUAL",$D$129,IF($F$129="COMPUTED",$C$129,$E$129))</f>
        <v>0</v>
      </c>
      <c r="H129" s="159" t="s">
        <v>532</v>
      </c>
      <c r="I129" s="159" t="s">
        <v>258</v>
      </c>
      <c r="J129" s="159" t="s">
        <v>249</v>
      </c>
      <c r="K129" s="159"/>
      <c r="L129" s="159" t="s">
        <v>478</v>
      </c>
      <c r="M129" s="159" t="s">
        <v>533</v>
      </c>
      <c r="N129">
        <v>3</v>
      </c>
    </row>
    <row r="130" spans="1:14" ht="12.75" customHeight="1" outlineLevel="1" x14ac:dyDescent="0.2">
      <c r="A130" s="159" t="s">
        <v>312</v>
      </c>
      <c r="B130" s="159"/>
      <c r="C130" s="161"/>
      <c r="D130" s="160"/>
      <c r="E130" s="161"/>
      <c r="F130" s="161"/>
      <c r="G130" s="161"/>
      <c r="H130" s="159" t="s">
        <v>452</v>
      </c>
      <c r="I130" s="159"/>
      <c r="J130" s="159" t="s">
        <v>249</v>
      </c>
      <c r="K130" s="159" t="s">
        <v>250</v>
      </c>
      <c r="L130" s="159" t="s">
        <v>301</v>
      </c>
      <c r="M130" s="159" t="s">
        <v>453</v>
      </c>
      <c r="N130">
        <v>2</v>
      </c>
    </row>
    <row r="131" spans="1:14" ht="12.75" customHeight="1" outlineLevel="2" x14ac:dyDescent="0.2">
      <c r="A131" s="159" t="s">
        <v>476</v>
      </c>
      <c r="B131" s="159" t="s">
        <v>254</v>
      </c>
      <c r="C131" s="160" t="s">
        <v>255</v>
      </c>
      <c r="D131" s="160">
        <v>0.6</v>
      </c>
      <c r="E131" s="160" t="s">
        <v>255</v>
      </c>
      <c r="F131" s="160" t="s">
        <v>256</v>
      </c>
      <c r="G131" s="161">
        <f>IF($F$131="MANUAL",$D$131,IF($F$131="COMPUTED",$C$131,$E$131))</f>
        <v>0.6</v>
      </c>
      <c r="H131" s="159" t="s">
        <v>534</v>
      </c>
      <c r="I131" s="159" t="s">
        <v>258</v>
      </c>
      <c r="J131" s="159" t="s">
        <v>249</v>
      </c>
      <c r="K131" s="159"/>
      <c r="L131" s="159" t="s">
        <v>478</v>
      </c>
      <c r="M131" s="159" t="s">
        <v>535</v>
      </c>
      <c r="N131">
        <v>3</v>
      </c>
    </row>
    <row r="132" spans="1:14" ht="12.75" customHeight="1" outlineLevel="1" x14ac:dyDescent="0.2">
      <c r="A132" s="159" t="s">
        <v>315</v>
      </c>
      <c r="B132" s="159"/>
      <c r="C132" s="161"/>
      <c r="D132" s="160"/>
      <c r="E132" s="161"/>
      <c r="F132" s="161"/>
      <c r="G132" s="161"/>
      <c r="H132" s="159" t="s">
        <v>454</v>
      </c>
      <c r="I132" s="159"/>
      <c r="J132" s="159" t="s">
        <v>249</v>
      </c>
      <c r="K132" s="159" t="s">
        <v>250</v>
      </c>
      <c r="L132" s="159" t="s">
        <v>301</v>
      </c>
      <c r="M132" s="159" t="s">
        <v>455</v>
      </c>
      <c r="N132">
        <v>2</v>
      </c>
    </row>
    <row r="133" spans="1:14" ht="12.75" customHeight="1" outlineLevel="2" x14ac:dyDescent="0.2">
      <c r="A133" s="159" t="s">
        <v>476</v>
      </c>
      <c r="B133" s="159" t="s">
        <v>254</v>
      </c>
      <c r="C133" s="160" t="s">
        <v>255</v>
      </c>
      <c r="D133" s="160">
        <v>0.1</v>
      </c>
      <c r="E133" s="160" t="s">
        <v>255</v>
      </c>
      <c r="F133" s="160" t="s">
        <v>256</v>
      </c>
      <c r="G133" s="161">
        <f>IF($F$133="MANUAL",$D$133,IF($F$133="COMPUTED",$C$133,$E$133))</f>
        <v>0.1</v>
      </c>
      <c r="H133" s="159" t="s">
        <v>536</v>
      </c>
      <c r="I133" s="159" t="s">
        <v>258</v>
      </c>
      <c r="J133" s="159" t="s">
        <v>249</v>
      </c>
      <c r="K133" s="159"/>
      <c r="L133" s="159" t="s">
        <v>478</v>
      </c>
      <c r="M133" s="159" t="s">
        <v>537</v>
      </c>
      <c r="N133">
        <v>3</v>
      </c>
    </row>
    <row r="134" spans="1:14" ht="12.75" customHeight="1" outlineLevel="1" x14ac:dyDescent="0.2">
      <c r="A134" s="159" t="s">
        <v>318</v>
      </c>
      <c r="B134" s="159"/>
      <c r="C134" s="161"/>
      <c r="D134" s="160"/>
      <c r="E134" s="161"/>
      <c r="F134" s="161"/>
      <c r="G134" s="161"/>
      <c r="H134" s="159" t="s">
        <v>456</v>
      </c>
      <c r="I134" s="159"/>
      <c r="J134" s="159" t="s">
        <v>249</v>
      </c>
      <c r="K134" s="159" t="s">
        <v>250</v>
      </c>
      <c r="L134" s="159" t="s">
        <v>301</v>
      </c>
      <c r="M134" s="159" t="s">
        <v>457</v>
      </c>
      <c r="N134">
        <v>2</v>
      </c>
    </row>
    <row r="135" spans="1:14" ht="12.75" customHeight="1" outlineLevel="2" x14ac:dyDescent="0.2">
      <c r="A135" s="159" t="s">
        <v>476</v>
      </c>
      <c r="B135" s="159" t="s">
        <v>254</v>
      </c>
      <c r="C135" s="160" t="s">
        <v>255</v>
      </c>
      <c r="D135" s="160">
        <v>0</v>
      </c>
      <c r="E135" s="160" t="s">
        <v>255</v>
      </c>
      <c r="F135" s="160" t="s">
        <v>256</v>
      </c>
      <c r="G135" s="161">
        <f>IF($F$135="MANUAL",$D$135,IF($F$135="COMPUTED",$C$135,$E$135))</f>
        <v>0</v>
      </c>
      <c r="H135" s="159" t="s">
        <v>720</v>
      </c>
      <c r="I135" s="159" t="s">
        <v>258</v>
      </c>
      <c r="J135" s="159" t="s">
        <v>249</v>
      </c>
      <c r="K135" s="159"/>
      <c r="L135" s="159" t="s">
        <v>478</v>
      </c>
      <c r="M135" s="159" t="s">
        <v>721</v>
      </c>
      <c r="N135">
        <v>3</v>
      </c>
    </row>
    <row r="136" spans="1:14" ht="12.75" customHeight="1" x14ac:dyDescent="0.2">
      <c r="A136" s="159" t="s">
        <v>463</v>
      </c>
      <c r="B136" s="159" t="s">
        <v>464</v>
      </c>
      <c r="C136" s="161"/>
      <c r="D136" s="161"/>
      <c r="E136" s="161"/>
      <c r="F136" s="161"/>
      <c r="G136" s="161"/>
      <c r="H136" s="159" t="s">
        <v>464</v>
      </c>
      <c r="I136" s="159"/>
      <c r="J136" s="159" t="s">
        <v>249</v>
      </c>
      <c r="K136" s="159" t="s">
        <v>250</v>
      </c>
      <c r="L136" s="159" t="s">
        <v>251</v>
      </c>
      <c r="M136" s="159" t="s">
        <v>465</v>
      </c>
      <c r="N136">
        <v>1</v>
      </c>
    </row>
    <row r="137" spans="1:14" ht="12.75" customHeight="1" outlineLevel="1" x14ac:dyDescent="0.2">
      <c r="A137" s="159" t="s">
        <v>253</v>
      </c>
      <c r="B137" s="159" t="s">
        <v>254</v>
      </c>
      <c r="C137" s="160" t="s">
        <v>255</v>
      </c>
      <c r="D137" s="160">
        <v>0</v>
      </c>
      <c r="E137" s="160" t="s">
        <v>255</v>
      </c>
      <c r="F137" s="160" t="s">
        <v>256</v>
      </c>
      <c r="G137" s="161">
        <f>IF($F$137="MANUAL",$D$137,IF($F$137="COMPUTED",$C$137,$E$137))</f>
        <v>0</v>
      </c>
      <c r="H137" s="159" t="s">
        <v>466</v>
      </c>
      <c r="I137" s="159" t="s">
        <v>258</v>
      </c>
      <c r="J137" s="159" t="s">
        <v>249</v>
      </c>
      <c r="K137" s="159"/>
      <c r="L137" s="159" t="s">
        <v>259</v>
      </c>
      <c r="M137" s="159" t="s">
        <v>467</v>
      </c>
      <c r="N137">
        <v>2</v>
      </c>
    </row>
    <row r="138" spans="1:14" ht="12.75" customHeight="1" x14ac:dyDescent="0.2">
      <c r="A138" s="159" t="s">
        <v>468</v>
      </c>
      <c r="B138" s="159" t="s">
        <v>469</v>
      </c>
      <c r="C138" s="161"/>
      <c r="D138" s="161"/>
      <c r="E138" s="161"/>
      <c r="F138" s="161"/>
      <c r="G138" s="161"/>
      <c r="H138" s="159" t="s">
        <v>469</v>
      </c>
      <c r="I138" s="159"/>
      <c r="J138" s="159" t="s">
        <v>249</v>
      </c>
      <c r="K138" s="159" t="s">
        <v>250</v>
      </c>
      <c r="L138" s="159" t="s">
        <v>251</v>
      </c>
      <c r="M138" s="159" t="s">
        <v>470</v>
      </c>
      <c r="N138">
        <v>1</v>
      </c>
    </row>
    <row r="139" spans="1:14" ht="12.75" customHeight="1" outlineLevel="1" x14ac:dyDescent="0.2">
      <c r="A139" s="159" t="s">
        <v>253</v>
      </c>
      <c r="B139" s="159" t="s">
        <v>254</v>
      </c>
      <c r="C139" s="160" t="s">
        <v>255</v>
      </c>
      <c r="D139" s="160">
        <v>0</v>
      </c>
      <c r="E139" s="160" t="s">
        <v>255</v>
      </c>
      <c r="F139" s="160" t="s">
        <v>256</v>
      </c>
      <c r="G139" s="161">
        <f>IF($F$139="MANUAL",$D$139,IF($F$139="COMPUTED",$C$139,$E$139))</f>
        <v>0</v>
      </c>
      <c r="H139" s="159" t="s">
        <v>471</v>
      </c>
      <c r="I139" s="159" t="s">
        <v>258</v>
      </c>
      <c r="J139" s="159" t="s">
        <v>249</v>
      </c>
      <c r="K139" s="159"/>
      <c r="L139" s="159" t="s">
        <v>259</v>
      </c>
      <c r="M139" s="159" t="s">
        <v>472</v>
      </c>
      <c r="N139">
        <v>2</v>
      </c>
    </row>
  </sheetData>
  <sheetProtection sheet="1" objects="1" scenarios="1" pivotTables="0"/>
  <dataValidations count="1">
    <dataValidation type="list" allowBlank="1" showInputMessage="1" showErrorMessage="1" sqref="F11 F13 F14 F15 F16 F17 F18 F19 F20 F21 F22 F23 F24 F25 F26 F27 F28 F29 F30 F31 F32 F33 F35 F37 F39 F40 F41 F42 F43 F44 F45 F46 F47 F48 F49 F50 F51 F52 F53 F54 F55 F56 F57 F58 F59 F61 F63 F64 F65 F66 F67 F69 F70 F71 F72 F73 F74 F75 F76 F77 F78 F79 F80 F81 F82 F83 F84 F85 F86 F87 F88 F89 F91 F92 F93 F94 F95 F96 F97 F98 F99 F100 F101 F102 F103 F104 F105 F106 F107 F108 F109 F110 F111 F113 F115 F116 F117 F118 F119 F120 F121 F122 F123 F124 F125 F126 F127 F128 F129 F130 F131 F132 F133 F134 F135 F137 F139" xr:uid="{786CE394-644E-4914-81A1-AFFB0F1403F5}">
      <formula1>"COMPUTED,MANUAL,REFERENCE"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3:S37"/>
  <sheetViews>
    <sheetView showGridLines="0" tabSelected="1" zoomScale="115" zoomScaleNormal="115" workbookViewId="0">
      <selection activeCell="J18" sqref="J18"/>
    </sheetView>
  </sheetViews>
  <sheetFormatPr baseColWidth="10" defaultColWidth="8.83203125" defaultRowHeight="15" x14ac:dyDescent="0.2"/>
  <cols>
    <col min="1" max="1" width="2" customWidth="1"/>
    <col min="2" max="2" width="19.6640625" customWidth="1"/>
    <col min="3" max="4" width="9.5" customWidth="1"/>
    <col min="5" max="10" width="9" customWidth="1"/>
    <col min="11" max="11" width="9.83203125" customWidth="1"/>
    <col min="12" max="12" width="11.6640625" customWidth="1"/>
    <col min="20" max="20" width="2.5" customWidth="1"/>
  </cols>
  <sheetData>
    <row r="3" spans="2:19" ht="9.75" customHeight="1" x14ac:dyDescent="0.2"/>
    <row r="4" spans="2:19" x14ac:dyDescent="0.2">
      <c r="B4" s="13" t="s">
        <v>4</v>
      </c>
      <c r="C4" s="13"/>
      <c r="D4" s="13"/>
      <c r="E4" s="14"/>
      <c r="F4" s="14"/>
      <c r="G4" s="14"/>
      <c r="H4" s="14"/>
      <c r="I4" s="14"/>
      <c r="J4" s="14"/>
      <c r="K4" s="14"/>
    </row>
    <row r="5" spans="2:19" s="1" customFormat="1" ht="15" customHeight="1" x14ac:dyDescent="0.2">
      <c r="B5" s="174" t="s">
        <v>10</v>
      </c>
      <c r="C5" s="175"/>
      <c r="D5" s="175"/>
      <c r="E5" s="175"/>
      <c r="F5" s="175"/>
      <c r="G5" s="175"/>
      <c r="H5" s="175"/>
      <c r="I5" s="175"/>
      <c r="J5" s="176"/>
    </row>
    <row r="6" spans="2:19" s="2" customFormat="1" ht="67.5" customHeight="1" x14ac:dyDescent="0.2">
      <c r="B6" s="180" t="s">
        <v>52</v>
      </c>
      <c r="C6" s="173" t="s">
        <v>58</v>
      </c>
      <c r="D6" s="173"/>
      <c r="E6" s="173"/>
      <c r="F6" s="173" t="s">
        <v>59</v>
      </c>
      <c r="G6" s="173"/>
      <c r="H6" s="173"/>
      <c r="I6" s="178" t="s">
        <v>14</v>
      </c>
      <c r="J6" s="177" t="s">
        <v>15</v>
      </c>
    </row>
    <row r="7" spans="2:19" s="2" customFormat="1" ht="30" x14ac:dyDescent="0.2">
      <c r="B7" s="181"/>
      <c r="C7" s="152" t="s">
        <v>219</v>
      </c>
      <c r="D7" s="152" t="s">
        <v>217</v>
      </c>
      <c r="E7" s="152" t="s">
        <v>218</v>
      </c>
      <c r="F7" s="152" t="s">
        <v>216</v>
      </c>
      <c r="G7" s="152" t="s">
        <v>220</v>
      </c>
      <c r="H7" s="152" t="s">
        <v>221</v>
      </c>
      <c r="I7" s="179"/>
      <c r="J7" s="177"/>
      <c r="K7" s="6"/>
      <c r="L7" s="5"/>
      <c r="M7" s="5"/>
      <c r="N7" s="5"/>
      <c r="O7" s="5"/>
      <c r="P7" s="5"/>
      <c r="Q7" s="5"/>
      <c r="R7" s="5"/>
      <c r="S7" s="5"/>
    </row>
    <row r="8" spans="2:19" x14ac:dyDescent="0.2">
      <c r="B8" s="151" t="s">
        <v>211</v>
      </c>
      <c r="C8" s="4">
        <f>AD.AI.II</f>
        <v>0</v>
      </c>
      <c r="D8" s="4">
        <f>AD.O.II*100</f>
        <v>10</v>
      </c>
      <c r="E8" s="4">
        <f>AD.ES.II*100</f>
        <v>10</v>
      </c>
      <c r="F8" s="4">
        <f>AD.R.II*100</f>
        <v>0</v>
      </c>
      <c r="G8" s="4">
        <f>AD.CT.II*100</f>
        <v>60</v>
      </c>
      <c r="H8" s="4">
        <f>AD.EB.II*100</f>
        <v>20</v>
      </c>
      <c r="I8" s="4">
        <f>AD.OTH.II*100</f>
        <v>0</v>
      </c>
      <c r="J8" s="12">
        <f>100-C8-D8-E8-F8-G8-H8-I8</f>
        <v>0</v>
      </c>
      <c r="K8" s="7"/>
    </row>
    <row r="9" spans="2:19" x14ac:dyDescent="0.2">
      <c r="B9" s="151" t="s">
        <v>212</v>
      </c>
      <c r="C9" s="4">
        <f>FG.AI.II*100</f>
        <v>10</v>
      </c>
      <c r="D9" s="4">
        <f>FG.O.II*100</f>
        <v>0</v>
      </c>
      <c r="E9" s="4">
        <f>FG.ES.II*100</f>
        <v>30</v>
      </c>
      <c r="F9" s="4">
        <f>FG.R.II*100</f>
        <v>10</v>
      </c>
      <c r="G9" s="4">
        <f>FG.CT.II*100</f>
        <v>30</v>
      </c>
      <c r="H9" s="4">
        <f>FG.EB.II*100</f>
        <v>20</v>
      </c>
      <c r="I9" s="4">
        <f>FG.OTH.II*100</f>
        <v>0</v>
      </c>
      <c r="J9" s="12">
        <f t="shared" ref="J9:J11" si="0">100-C9-D9-E9-F9-G9-H9-I9</f>
        <v>0</v>
      </c>
      <c r="K9" s="7"/>
    </row>
    <row r="10" spans="2:19" x14ac:dyDescent="0.2">
      <c r="B10" s="151" t="s">
        <v>213</v>
      </c>
      <c r="C10" s="4">
        <f>NT.AI.II*100</f>
        <v>20</v>
      </c>
      <c r="D10" s="4">
        <f>NT.O.II*100</f>
        <v>0</v>
      </c>
      <c r="E10" s="4">
        <f>NT.ES.II*100</f>
        <v>5</v>
      </c>
      <c r="F10" s="4">
        <f>NT.R.II*100</f>
        <v>15</v>
      </c>
      <c r="G10" s="4">
        <f>NT.CT.II*100</f>
        <v>15</v>
      </c>
      <c r="H10" s="4">
        <f>NT.EB.II*100</f>
        <v>20</v>
      </c>
      <c r="I10" s="4">
        <f>NT.OTH.II*100</f>
        <v>25</v>
      </c>
      <c r="J10" s="12">
        <f t="shared" si="0"/>
        <v>0</v>
      </c>
    </row>
    <row r="11" spans="2:19" x14ac:dyDescent="0.2">
      <c r="B11" s="151" t="s">
        <v>214</v>
      </c>
      <c r="C11" s="4">
        <f>ES.AI.II*100</f>
        <v>0</v>
      </c>
      <c r="D11" s="4">
        <f>ES.O.II*100</f>
        <v>0</v>
      </c>
      <c r="E11" s="4">
        <f>ES.ES.II*100</f>
        <v>70</v>
      </c>
      <c r="F11" s="4">
        <f>ES.R.II*100</f>
        <v>0</v>
      </c>
      <c r="G11" s="4">
        <f>ES.CT.II*100</f>
        <v>0</v>
      </c>
      <c r="H11" s="4">
        <f>ES.EB.II*100</f>
        <v>10</v>
      </c>
      <c r="I11" s="4">
        <f>ES.OTH.II*100</f>
        <v>20</v>
      </c>
      <c r="J11" s="12">
        <f t="shared" si="0"/>
        <v>0</v>
      </c>
    </row>
    <row r="12" spans="2:19" x14ac:dyDescent="0.2">
      <c r="B12" s="151" t="s">
        <v>215</v>
      </c>
      <c r="C12" s="4">
        <f>OC.AI.II*100</f>
        <v>15</v>
      </c>
      <c r="D12" s="4">
        <f>OC.O.II*100</f>
        <v>60</v>
      </c>
      <c r="E12" s="4">
        <f>OC.ES.II*100</f>
        <v>0</v>
      </c>
      <c r="F12" s="4">
        <f>OC.R.II*100</f>
        <v>0</v>
      </c>
      <c r="G12" s="4">
        <f>OC.CT.II*100</f>
        <v>0</v>
      </c>
      <c r="H12" s="4">
        <f>OC.EB.II*100</f>
        <v>15</v>
      </c>
      <c r="I12" s="4">
        <f>OC.OTH.II*100</f>
        <v>10</v>
      </c>
      <c r="J12" s="12">
        <f>100-C12-D12-E12-F12-G12-H12-I12</f>
        <v>0</v>
      </c>
    </row>
    <row r="13" spans="2:19" x14ac:dyDescent="0.2">
      <c r="B13" s="102"/>
    </row>
    <row r="14" spans="2:19" x14ac:dyDescent="0.2">
      <c r="B14" s="13" t="s">
        <v>5</v>
      </c>
      <c r="C14" s="13"/>
      <c r="D14" s="13"/>
      <c r="E14" s="14"/>
      <c r="F14" s="14"/>
      <c r="G14" s="14"/>
      <c r="H14" s="14"/>
      <c r="I14" s="14"/>
      <c r="J14" s="14"/>
      <c r="K14" s="14"/>
    </row>
    <row r="15" spans="2:19" x14ac:dyDescent="0.2">
      <c r="B15" s="174" t="s">
        <v>12</v>
      </c>
      <c r="C15" s="168"/>
      <c r="D15" s="168"/>
      <c r="E15" s="168"/>
      <c r="F15" s="168"/>
      <c r="G15" s="168"/>
      <c r="H15" s="168"/>
      <c r="I15" s="168"/>
      <c r="J15" s="84"/>
    </row>
    <row r="16" spans="2:19" ht="38.25" customHeight="1" x14ac:dyDescent="0.2">
      <c r="B16" s="9"/>
      <c r="C16" s="10" t="s">
        <v>22</v>
      </c>
      <c r="D16" s="10" t="s">
        <v>24</v>
      </c>
      <c r="E16" s="10" t="s">
        <v>17</v>
      </c>
      <c r="F16" s="10" t="s">
        <v>23</v>
      </c>
      <c r="G16" s="10" t="s">
        <v>19</v>
      </c>
      <c r="H16" s="10" t="s">
        <v>20</v>
      </c>
      <c r="I16" s="10" t="s">
        <v>21</v>
      </c>
      <c r="J16" s="15"/>
    </row>
    <row r="17" spans="2:11" x14ac:dyDescent="0.2">
      <c r="B17" s="3" t="str">
        <f>B8</f>
        <v>Астероидная опасность</v>
      </c>
      <c r="C17" s="4">
        <f>AD.SRI</f>
        <v>1</v>
      </c>
      <c r="D17" s="4">
        <f>AD.ERI</f>
        <v>0.6</v>
      </c>
      <c r="E17" s="4">
        <f>AD.HRI</f>
        <v>0.4</v>
      </c>
      <c r="F17" s="4">
        <f>AD.ORI</f>
        <v>0.8</v>
      </c>
      <c r="G17" s="4">
        <f>AD.FRI</f>
        <v>1</v>
      </c>
      <c r="H17" s="4">
        <f>AD.PRI</f>
        <v>0.4</v>
      </c>
      <c r="I17" s="4">
        <f>AD.FM</f>
        <v>0.2</v>
      </c>
    </row>
    <row r="18" spans="2:11" x14ac:dyDescent="0.2">
      <c r="B18" s="3" t="str">
        <f>B9</f>
        <v>5G из космоса</v>
      </c>
      <c r="C18" s="4">
        <f>FG.SRI</f>
        <v>0.8</v>
      </c>
      <c r="D18" s="4">
        <f>FG.ERI</f>
        <v>0.6</v>
      </c>
      <c r="E18" s="4">
        <f>FG.HRI</f>
        <v>0.4</v>
      </c>
      <c r="F18" s="4">
        <f>FG.ORI</f>
        <v>0.4</v>
      </c>
      <c r="G18" s="4">
        <f>FG.FRI</f>
        <v>0.8</v>
      </c>
      <c r="H18" s="4">
        <f>FG.PRI</f>
        <v>0.4</v>
      </c>
      <c r="I18" s="4">
        <f>FG.FM</f>
        <v>0.2</v>
      </c>
    </row>
    <row r="19" spans="2:11" x14ac:dyDescent="0.2">
      <c r="B19" s="3" t="str">
        <f>B10</f>
        <v>Навигация 2.0</v>
      </c>
      <c r="C19" s="4">
        <f>NT.SRI</f>
        <v>0.6</v>
      </c>
      <c r="D19" s="4">
        <f>NT.ERI</f>
        <v>0.6</v>
      </c>
      <c r="E19" s="4">
        <f>NT.HRI</f>
        <v>0.4</v>
      </c>
      <c r="F19" s="4">
        <f>NT.ORI</f>
        <v>0.4</v>
      </c>
      <c r="G19" s="4">
        <f>NT.FRI</f>
        <v>0.8</v>
      </c>
      <c r="H19" s="4">
        <f>NT.PRI</f>
        <v>0.4</v>
      </c>
      <c r="I19" s="4">
        <f>NT.FM</f>
        <v>0.2</v>
      </c>
    </row>
    <row r="20" spans="2:11" x14ac:dyDescent="0.2">
      <c r="B20" s="3" t="str">
        <f>B11</f>
        <v>Энергетика транспорт</v>
      </c>
      <c r="C20" s="4">
        <f>ES.SRI</f>
        <v>0.4</v>
      </c>
      <c r="D20" s="4">
        <f>ES.ERI</f>
        <v>0.6</v>
      </c>
      <c r="E20" s="4">
        <f>ES.HRI</f>
        <v>0.4</v>
      </c>
      <c r="F20" s="4">
        <f>ES.ORI</f>
        <v>0.2</v>
      </c>
      <c r="G20" s="4">
        <f>ES.FRI</f>
        <v>0.8</v>
      </c>
      <c r="H20" s="4">
        <f>ES.PRI</f>
        <v>0.4</v>
      </c>
      <c r="I20" s="4">
        <f>ES.FM</f>
        <v>0.2</v>
      </c>
    </row>
    <row r="21" spans="2:11" x14ac:dyDescent="0.2">
      <c r="B21" s="3" t="str">
        <f>B12</f>
        <v>ОптоКванты</v>
      </c>
      <c r="C21" s="4">
        <f>OC.SRI</f>
        <v>0.2</v>
      </c>
      <c r="D21" s="4">
        <f>OC.ERI</f>
        <v>0.6</v>
      </c>
      <c r="E21" s="4">
        <f>OC.HRI</f>
        <v>0.4</v>
      </c>
      <c r="F21" s="4">
        <f>OC.ORI</f>
        <v>0.6</v>
      </c>
      <c r="G21" s="4">
        <f>OC.FRI</f>
        <v>0.2</v>
      </c>
      <c r="H21" s="4">
        <f>OC.PRI</f>
        <v>0.4</v>
      </c>
      <c r="I21" s="4">
        <f>OC.FM</f>
        <v>0.2</v>
      </c>
    </row>
    <row r="23" spans="2:11" x14ac:dyDescent="0.2">
      <c r="B23" s="13" t="s">
        <v>11</v>
      </c>
      <c r="C23" s="13"/>
      <c r="D23" s="13"/>
      <c r="E23" s="14"/>
      <c r="F23" s="14"/>
      <c r="G23" s="14"/>
      <c r="H23" s="14"/>
      <c r="I23" s="14"/>
      <c r="J23" s="14"/>
      <c r="K23" s="14"/>
    </row>
    <row r="24" spans="2:11" x14ac:dyDescent="0.2">
      <c r="B24" s="171" t="s">
        <v>25</v>
      </c>
      <c r="C24" s="172"/>
      <c r="D24" s="172"/>
      <c r="E24" s="172"/>
      <c r="F24" s="83"/>
      <c r="G24" s="83"/>
      <c r="H24" s="83"/>
      <c r="I24" s="83"/>
      <c r="J24" s="83"/>
      <c r="K24" s="6"/>
    </row>
    <row r="25" spans="2:11" x14ac:dyDescent="0.2">
      <c r="B25" s="151" t="s">
        <v>6</v>
      </c>
      <c r="C25" s="169">
        <f>' Interactive'!B6*1000</f>
        <v>66000</v>
      </c>
      <c r="D25" s="170"/>
      <c r="E25" s="16"/>
      <c r="F25" s="16"/>
      <c r="G25" s="16"/>
      <c r="H25" s="16"/>
      <c r="I25" s="16"/>
      <c r="J25" s="16"/>
      <c r="K25" s="7"/>
    </row>
    <row r="26" spans="2:11" x14ac:dyDescent="0.2">
      <c r="B26" s="151" t="s">
        <v>7</v>
      </c>
      <c r="C26" s="169">
        <f>' Interactive'!B7*1000</f>
        <v>54000</v>
      </c>
      <c r="D26" s="170"/>
      <c r="K26" s="7"/>
    </row>
    <row r="27" spans="2:11" x14ac:dyDescent="0.2">
      <c r="B27" s="151" t="s">
        <v>8</v>
      </c>
      <c r="C27" s="169">
        <f>' Interactive'!B8*1000</f>
        <v>61000</v>
      </c>
      <c r="D27" s="170"/>
    </row>
    <row r="28" spans="2:11" x14ac:dyDescent="0.2">
      <c r="B28" s="16"/>
      <c r="D28" s="31"/>
    </row>
    <row r="29" spans="2:11" ht="15" customHeight="1" x14ac:dyDescent="0.2">
      <c r="B29" s="167" t="s">
        <v>29</v>
      </c>
      <c r="C29" s="168"/>
      <c r="D29" s="168"/>
      <c r="E29" s="168"/>
      <c r="J29" s="20"/>
      <c r="K29" s="19"/>
    </row>
    <row r="30" spans="2:11" ht="42.75" customHeight="1" x14ac:dyDescent="0.2">
      <c r="B30" s="165"/>
      <c r="C30" s="35" t="s">
        <v>30</v>
      </c>
      <c r="D30" s="35" t="s">
        <v>40</v>
      </c>
      <c r="E30" s="25" t="s">
        <v>39</v>
      </c>
    </row>
    <row r="31" spans="2:11" x14ac:dyDescent="0.2">
      <c r="B31" s="166"/>
      <c r="C31" s="49" t="s">
        <v>6</v>
      </c>
      <c r="D31" s="49" t="s">
        <v>7</v>
      </c>
      <c r="E31" s="50" t="s">
        <v>8</v>
      </c>
    </row>
    <row r="32" spans="2:11" x14ac:dyDescent="0.2">
      <c r="B32" s="3" t="str">
        <f>B8</f>
        <v>Астероидная опасность</v>
      </c>
      <c r="C32" s="46">
        <v>50</v>
      </c>
      <c r="D32" s="46">
        <v>3</v>
      </c>
      <c r="E32" s="4">
        <v>1</v>
      </c>
    </row>
    <row r="33" spans="2:8" x14ac:dyDescent="0.2">
      <c r="B33" s="3" t="str">
        <f>B9</f>
        <v>5G из космоса</v>
      </c>
      <c r="C33" s="46">
        <v>37</v>
      </c>
      <c r="D33" s="46">
        <v>30</v>
      </c>
      <c r="E33" s="4">
        <v>1</v>
      </c>
    </row>
    <row r="34" spans="2:8" x14ac:dyDescent="0.2">
      <c r="B34" s="3" t="str">
        <f>B10</f>
        <v>Навигация 2.0</v>
      </c>
      <c r="C34" s="46">
        <v>7</v>
      </c>
      <c r="D34" s="46">
        <v>27</v>
      </c>
      <c r="E34" s="4">
        <v>25</v>
      </c>
    </row>
    <row r="35" spans="2:8" x14ac:dyDescent="0.2">
      <c r="B35" s="3" t="str">
        <f>B11</f>
        <v>Энергетика транспорт</v>
      </c>
      <c r="C35" s="46">
        <v>3</v>
      </c>
      <c r="D35" s="46">
        <v>20</v>
      </c>
      <c r="E35" s="4">
        <v>35</v>
      </c>
    </row>
    <row r="36" spans="2:8" x14ac:dyDescent="0.2">
      <c r="B36" s="3" t="str">
        <f>B12</f>
        <v>ОптоКванты</v>
      </c>
      <c r="C36" s="46">
        <v>3</v>
      </c>
      <c r="D36" s="46">
        <v>20</v>
      </c>
      <c r="E36" s="4">
        <v>38</v>
      </c>
    </row>
    <row r="37" spans="2:8" x14ac:dyDescent="0.2">
      <c r="B37" s="28" t="s">
        <v>27</v>
      </c>
      <c r="C37" s="33">
        <f>C34+C35+C36+C32+C33</f>
        <v>100</v>
      </c>
      <c r="D37" s="33">
        <f t="shared" ref="D37" si="1">D34+D35+D36+D32+D33</f>
        <v>100</v>
      </c>
      <c r="E37" s="12">
        <f t="shared" ref="E37" si="2">E34+E35+E36+E32+E33</f>
        <v>100</v>
      </c>
      <c r="H37" s="99"/>
    </row>
  </sheetData>
  <mergeCells count="13">
    <mergeCell ref="B24:E24"/>
    <mergeCell ref="F6:H6"/>
    <mergeCell ref="C6:E6"/>
    <mergeCell ref="B5:J5"/>
    <mergeCell ref="J6:J7"/>
    <mergeCell ref="I6:I7"/>
    <mergeCell ref="B6:B7"/>
    <mergeCell ref="B15:I15"/>
    <mergeCell ref="B30:B31"/>
    <mergeCell ref="B29:E29"/>
    <mergeCell ref="C25:D25"/>
    <mergeCell ref="C26:D26"/>
    <mergeCell ref="C27:D27"/>
  </mergeCells>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Q149"/>
  <sheetViews>
    <sheetView showGridLines="0" zoomScale="85" zoomScaleNormal="85" workbookViewId="0">
      <selection activeCell="C16" sqref="C16:I18"/>
    </sheetView>
  </sheetViews>
  <sheetFormatPr baseColWidth="10" defaultColWidth="8.83203125" defaultRowHeight="15" x14ac:dyDescent="0.2"/>
  <cols>
    <col min="1" max="1" width="3.33203125" style="19" customWidth="1"/>
    <col min="2" max="2" width="15.5" style="19" customWidth="1"/>
    <col min="3" max="3" width="10.83203125" style="19" customWidth="1"/>
    <col min="4" max="6" width="10.5" style="19" customWidth="1"/>
    <col min="7" max="7" width="11.6640625" style="19" customWidth="1"/>
    <col min="8" max="8" width="11.5" style="19" customWidth="1"/>
    <col min="9" max="9" width="11.83203125" style="19" customWidth="1"/>
    <col min="10" max="10" width="12.6640625" style="19" customWidth="1"/>
    <col min="11" max="11" width="12" style="19" customWidth="1"/>
    <col min="12" max="12" width="11" style="19" bestFit="1" customWidth="1"/>
    <col min="13" max="13" width="11.5" style="19" customWidth="1"/>
    <col min="14" max="14" width="14" style="19" customWidth="1"/>
    <col min="15" max="15" width="13" style="19" customWidth="1"/>
    <col min="16" max="16" width="11" style="19" customWidth="1"/>
    <col min="17" max="17" width="12" style="19" bestFit="1" customWidth="1"/>
    <col min="18" max="16384" width="8.83203125" style="19"/>
  </cols>
  <sheetData>
    <row r="1" spans="2:17" x14ac:dyDescent="0.2">
      <c r="B1" s="17" t="s">
        <v>43</v>
      </c>
      <c r="C1" s="17"/>
      <c r="D1" s="17"/>
      <c r="E1" s="18"/>
      <c r="F1" s="18"/>
      <c r="G1" s="18"/>
      <c r="H1" s="18"/>
      <c r="I1" s="18"/>
      <c r="J1" s="18"/>
    </row>
    <row r="2" spans="2:17" ht="15" customHeight="1" x14ac:dyDescent="0.2">
      <c r="B2" s="167" t="s">
        <v>28</v>
      </c>
      <c r="C2" s="186"/>
      <c r="D2" s="186"/>
      <c r="E2" s="186"/>
      <c r="F2" s="186"/>
      <c r="G2" s="186"/>
      <c r="H2" s="186"/>
      <c r="I2" s="186"/>
      <c r="J2" s="189"/>
      <c r="K2" s="20"/>
      <c r="L2" s="21"/>
    </row>
    <row r="3" spans="2:17" ht="43.5" customHeight="1" x14ac:dyDescent="0.2">
      <c r="B3" s="180" t="s">
        <v>52</v>
      </c>
      <c r="C3" s="173" t="s">
        <v>58</v>
      </c>
      <c r="D3" s="173"/>
      <c r="E3" s="173"/>
      <c r="F3" s="173" t="s">
        <v>59</v>
      </c>
      <c r="G3" s="173"/>
      <c r="H3" s="173"/>
      <c r="I3" s="180" t="s">
        <v>14</v>
      </c>
      <c r="J3" s="180" t="s">
        <v>9</v>
      </c>
    </row>
    <row r="4" spans="2:17" x14ac:dyDescent="0.2">
      <c r="B4" s="181"/>
      <c r="C4" s="69" t="str">
        <f>Input!C7</f>
        <v>ИИ</v>
      </c>
      <c r="D4" s="149" t="str">
        <f>Input!D7</f>
        <v>Оптика</v>
      </c>
      <c r="E4" s="149" t="str">
        <f>Input!E7</f>
        <v>Ист Энергии</v>
      </c>
      <c r="F4" s="149" t="str">
        <f>Input!F7</f>
        <v xml:space="preserve">  Робот прз</v>
      </c>
      <c r="G4" s="149" t="str">
        <f>Input!G7</f>
        <v>КосмТех</v>
      </c>
      <c r="H4" s="149" t="str">
        <f>Input!H7</f>
        <v>ЭлемБаза</v>
      </c>
      <c r="I4" s="181"/>
      <c r="J4" s="181"/>
    </row>
    <row r="5" spans="2:17" ht="32" x14ac:dyDescent="0.2">
      <c r="B5" s="27" t="str">
        <f>Input!$B8</f>
        <v>Астероидная опасность</v>
      </c>
      <c r="C5" s="81">
        <v>1</v>
      </c>
      <c r="D5" s="81">
        <v>7.2562910050010059</v>
      </c>
      <c r="E5" s="81">
        <v>7.256420449866007</v>
      </c>
      <c r="F5" s="81">
        <v>1</v>
      </c>
      <c r="G5" s="81">
        <v>10.913606725264906</v>
      </c>
      <c r="H5" s="81">
        <v>10.914429338690359</v>
      </c>
      <c r="I5" s="81">
        <v>1</v>
      </c>
      <c r="J5" s="36">
        <f>SUM(C5:I5)</f>
        <v>39.340747518822276</v>
      </c>
      <c r="K5" s="39"/>
    </row>
    <row r="6" spans="2:17" ht="16" x14ac:dyDescent="0.2">
      <c r="B6" s="27" t="str">
        <f>Input!$B9</f>
        <v>5G из космоса</v>
      </c>
      <c r="C6" s="81">
        <v>7.789038894611136</v>
      </c>
      <c r="D6" s="81">
        <v>1</v>
      </c>
      <c r="E6" s="81">
        <v>7.7884127434868722</v>
      </c>
      <c r="F6" s="81">
        <v>11.67978885665149</v>
      </c>
      <c r="G6" s="81">
        <v>11.679176657111141</v>
      </c>
      <c r="H6" s="81">
        <v>11.677505260162478</v>
      </c>
      <c r="I6" s="81">
        <v>1</v>
      </c>
      <c r="J6" s="36">
        <f t="shared" ref="J6:J9" si="0">SUM(C6:I6)</f>
        <v>52.613922412023115</v>
      </c>
      <c r="K6" s="39"/>
    </row>
    <row r="7" spans="2:17" ht="16" x14ac:dyDescent="0.2">
      <c r="B7" s="27" t="str">
        <f>Input!$B10</f>
        <v>Навигация 2.0</v>
      </c>
      <c r="C7" s="81">
        <v>8.9509802605069861</v>
      </c>
      <c r="D7" s="81">
        <v>1</v>
      </c>
      <c r="E7" s="81">
        <v>8.9511656710111449</v>
      </c>
      <c r="F7" s="81">
        <v>13.350763830242791</v>
      </c>
      <c r="G7" s="81">
        <v>13.351268198204151</v>
      </c>
      <c r="H7" s="81">
        <v>13.350562198972968</v>
      </c>
      <c r="I7" s="81">
        <v>26.989526038861239</v>
      </c>
      <c r="J7" s="36">
        <f t="shared" si="0"/>
        <v>85.94426619779928</v>
      </c>
      <c r="K7" s="39"/>
    </row>
    <row r="8" spans="2:17" ht="32" x14ac:dyDescent="0.2">
      <c r="B8" s="27" t="str">
        <f>Input!$B11</f>
        <v>Энергетика транспорт</v>
      </c>
      <c r="C8" s="81">
        <v>1</v>
      </c>
      <c r="D8" s="81">
        <v>1</v>
      </c>
      <c r="E8" s="81">
        <v>9.4567276455279323</v>
      </c>
      <c r="F8" s="81">
        <v>1</v>
      </c>
      <c r="G8" s="81">
        <v>1</v>
      </c>
      <c r="H8" s="81">
        <v>14.077129102993439</v>
      </c>
      <c r="I8" s="81">
        <v>28.39713734284577</v>
      </c>
      <c r="J8" s="36">
        <f t="shared" si="0"/>
        <v>55.93099409136714</v>
      </c>
      <c r="K8" s="39"/>
    </row>
    <row r="9" spans="2:17" ht="16" x14ac:dyDescent="0.2">
      <c r="B9" s="27" t="str">
        <f>Input!$B12</f>
        <v>ОптоКванты</v>
      </c>
      <c r="C9" s="81">
        <v>10.614117295655765</v>
      </c>
      <c r="D9" s="81">
        <v>10.614036828279785</v>
      </c>
      <c r="E9" s="81">
        <v>1</v>
      </c>
      <c r="F9" s="81">
        <v>1</v>
      </c>
      <c r="G9" s="81">
        <v>1</v>
      </c>
      <c r="H9" s="81">
        <v>15.7441792206609</v>
      </c>
      <c r="I9" s="81">
        <v>31.61129619114794</v>
      </c>
      <c r="J9" s="36">
        <f t="shared" si="0"/>
        <v>71.583629535744393</v>
      </c>
      <c r="K9" s="39"/>
    </row>
    <row r="10" spans="2:17" x14ac:dyDescent="0.2">
      <c r="B10" s="29"/>
      <c r="C10" s="75"/>
      <c r="D10" s="75"/>
      <c r="E10" s="75"/>
      <c r="F10" s="75"/>
      <c r="G10" s="75"/>
      <c r="H10" s="75"/>
      <c r="I10" s="75"/>
      <c r="J10" s="76"/>
      <c r="K10" s="39"/>
    </row>
    <row r="11" spans="2:17" x14ac:dyDescent="0.2">
      <c r="B11" s="29"/>
      <c r="C11" s="75"/>
      <c r="D11" s="75"/>
      <c r="E11" s="75"/>
      <c r="F11" s="75"/>
      <c r="G11" s="75"/>
      <c r="H11" s="75"/>
      <c r="I11" s="75"/>
      <c r="J11" s="76"/>
      <c r="K11" s="39"/>
    </row>
    <row r="12" spans="2:17" x14ac:dyDescent="0.2">
      <c r="B12" s="17" t="s">
        <v>44</v>
      </c>
      <c r="C12" s="17"/>
      <c r="D12" s="17"/>
      <c r="E12" s="18"/>
      <c r="F12" s="18"/>
      <c r="G12" s="18"/>
      <c r="H12" s="18"/>
      <c r="I12" s="18"/>
      <c r="J12" s="18"/>
    </row>
    <row r="13" spans="2:17" ht="15" customHeight="1" x14ac:dyDescent="0.2">
      <c r="B13" s="167" t="s">
        <v>60</v>
      </c>
      <c r="C13" s="186"/>
      <c r="D13" s="186"/>
      <c r="E13" s="186"/>
      <c r="F13" s="186"/>
      <c r="G13" s="186"/>
      <c r="H13" s="186"/>
      <c r="I13" s="186"/>
      <c r="J13" s="189"/>
      <c r="K13" s="20"/>
      <c r="L13" s="167" t="s">
        <v>55</v>
      </c>
      <c r="M13" s="182"/>
      <c r="N13" s="182"/>
      <c r="O13" s="182"/>
      <c r="P13" s="182"/>
      <c r="Q13" s="183"/>
    </row>
    <row r="14" spans="2:17" ht="30" customHeight="1" x14ac:dyDescent="0.2">
      <c r="B14" s="180" t="s">
        <v>51</v>
      </c>
      <c r="C14" s="173" t="s">
        <v>58</v>
      </c>
      <c r="D14" s="173"/>
      <c r="E14" s="173"/>
      <c r="F14" s="173" t="s">
        <v>59</v>
      </c>
      <c r="G14" s="173"/>
      <c r="H14" s="173"/>
      <c r="I14" s="180" t="s">
        <v>14</v>
      </c>
      <c r="J14" s="180" t="s">
        <v>9</v>
      </c>
      <c r="L14" s="165"/>
      <c r="M14" s="180" t="s">
        <v>2</v>
      </c>
      <c r="N14" s="180" t="s">
        <v>3</v>
      </c>
      <c r="O14" s="180" t="s">
        <v>14</v>
      </c>
      <c r="P14" s="180" t="s">
        <v>9</v>
      </c>
      <c r="Q14" s="180" t="s">
        <v>72</v>
      </c>
    </row>
    <row r="15" spans="2:17" ht="21.75" customHeight="1" x14ac:dyDescent="0.2">
      <c r="B15" s="181"/>
      <c r="C15" s="69" t="str">
        <f>C4</f>
        <v>ИИ</v>
      </c>
      <c r="D15" s="149" t="str">
        <f t="shared" ref="D15:H15" si="1">D4</f>
        <v>Оптика</v>
      </c>
      <c r="E15" s="149" t="str">
        <f t="shared" si="1"/>
        <v>Ист Энергии</v>
      </c>
      <c r="F15" s="149" t="str">
        <f t="shared" si="1"/>
        <v xml:space="preserve">  Робот прз</v>
      </c>
      <c r="G15" s="149" t="str">
        <f t="shared" si="1"/>
        <v>КосмТех</v>
      </c>
      <c r="H15" s="149" t="str">
        <f t="shared" si="1"/>
        <v>ЭлемБаза</v>
      </c>
      <c r="I15" s="181"/>
      <c r="J15" s="181"/>
      <c r="L15" s="166"/>
      <c r="M15" s="166"/>
      <c r="N15" s="166"/>
      <c r="O15" s="181"/>
      <c r="P15" s="181"/>
      <c r="Q15" s="181"/>
    </row>
    <row r="16" spans="2:17" ht="16" x14ac:dyDescent="0.2">
      <c r="B16" s="27" t="str">
        <f>Input!B25</f>
        <v>П1</v>
      </c>
      <c r="C16" s="55">
        <v>3.7973163849050997</v>
      </c>
      <c r="D16" s="55">
        <v>9.9999994396249292E-11</v>
      </c>
      <c r="E16" s="55">
        <v>1.2441220042719212</v>
      </c>
      <c r="F16" s="55">
        <v>6.9820958572920766</v>
      </c>
      <c r="G16" s="55">
        <v>0.33393432629847036</v>
      </c>
      <c r="H16" s="55">
        <v>1.2481877814114875</v>
      </c>
      <c r="I16" s="55">
        <v>1.0082967938413319</v>
      </c>
      <c r="J16" s="37">
        <f t="shared" ref="J16:J18" si="2">SUM(C16:I16)</f>
        <v>14.613953148120387</v>
      </c>
      <c r="L16" s="27" t="str">
        <f>B16</f>
        <v>П1</v>
      </c>
      <c r="M16" s="54">
        <v>0.5</v>
      </c>
      <c r="N16" s="54">
        <v>0.4</v>
      </c>
      <c r="O16" s="54">
        <v>0.1</v>
      </c>
      <c r="P16" s="37">
        <f>SUM(M16:O16)</f>
        <v>1</v>
      </c>
      <c r="Q16" s="52">
        <f>C100</f>
        <v>66000</v>
      </c>
    </row>
    <row r="17" spans="2:17" ht="16" x14ac:dyDescent="0.2">
      <c r="B17" s="27" t="str">
        <f>Input!B26</f>
        <v>П2</v>
      </c>
      <c r="C17" s="55">
        <v>0.67724182109395892</v>
      </c>
      <c r="D17" s="55">
        <v>12.094106007400599</v>
      </c>
      <c r="E17" s="55">
        <v>1.4570327172146571</v>
      </c>
      <c r="F17" s="55">
        <v>1.000000082740371E-10</v>
      </c>
      <c r="G17" s="55">
        <v>4.3374241346341433</v>
      </c>
      <c r="H17" s="55">
        <v>1.3553941136070009</v>
      </c>
      <c r="I17" s="55">
        <v>1.006788421676178</v>
      </c>
      <c r="J17" s="37">
        <f t="shared" si="2"/>
        <v>20.927987215726539</v>
      </c>
      <c r="L17" s="27" t="str">
        <f t="shared" ref="L17:L18" si="3">B17</f>
        <v>П2</v>
      </c>
      <c r="M17" s="54">
        <v>0.2</v>
      </c>
      <c r="N17" s="54">
        <v>0.7</v>
      </c>
      <c r="O17" s="54">
        <v>0.1</v>
      </c>
      <c r="P17" s="37">
        <f>SUM(M17:O17)</f>
        <v>0.99999999999999989</v>
      </c>
      <c r="Q17" s="52">
        <f>C101</f>
        <v>54000</v>
      </c>
    </row>
    <row r="18" spans="2:17" ht="16" x14ac:dyDescent="0.2">
      <c r="B18" s="27" t="str">
        <f>Input!B27</f>
        <v>П3</v>
      </c>
      <c r="C18" s="55">
        <v>9.999999960041972E-11</v>
      </c>
      <c r="D18" s="55">
        <v>1.000000082740371E-10</v>
      </c>
      <c r="E18" s="55">
        <v>1.7382957044735774</v>
      </c>
      <c r="F18" s="55">
        <v>1.0000000000006045E-10</v>
      </c>
      <c r="G18" s="55">
        <v>9.9999999999954573E-11</v>
      </c>
      <c r="H18" s="55">
        <v>0.93041277030378733</v>
      </c>
      <c r="I18" s="55">
        <v>1.3925853145322846</v>
      </c>
      <c r="J18" s="37">
        <f t="shared" si="2"/>
        <v>4.0612937897096497</v>
      </c>
      <c r="L18" s="27" t="str">
        <f t="shared" si="3"/>
        <v>П3</v>
      </c>
      <c r="M18" s="54">
        <v>0.1</v>
      </c>
      <c r="N18" s="54">
        <v>0.45</v>
      </c>
      <c r="O18" s="54">
        <v>0.45</v>
      </c>
      <c r="P18" s="37">
        <f>SUM(M18:O18)</f>
        <v>1</v>
      </c>
      <c r="Q18" s="52">
        <f>C102</f>
        <v>61000</v>
      </c>
    </row>
    <row r="19" spans="2:17" ht="26.25" customHeight="1" x14ac:dyDescent="0.2">
      <c r="L19" s="105" t="s">
        <v>71</v>
      </c>
      <c r="M19" s="106">
        <f>M16*Q16+M17*Q17+M18*Q18</f>
        <v>49900</v>
      </c>
      <c r="N19" s="106">
        <f>N16*Q16+N17*Q17+N18*Q18</f>
        <v>91650</v>
      </c>
      <c r="O19" s="106">
        <f>O16*Q16+O17*Q17+O18*Q18</f>
        <v>39450</v>
      </c>
      <c r="P19" s="106">
        <f>M19+N19+O19</f>
        <v>181000</v>
      </c>
    </row>
    <row r="20" spans="2:17" x14ac:dyDescent="0.2">
      <c r="B20" s="190" t="s">
        <v>48</v>
      </c>
      <c r="C20" s="189"/>
      <c r="D20" s="189"/>
      <c r="E20" s="189"/>
      <c r="F20" s="189"/>
      <c r="G20" s="189"/>
      <c r="H20" s="189"/>
      <c r="I20" s="189"/>
      <c r="J20" s="189"/>
      <c r="K20" s="39"/>
    </row>
    <row r="21" spans="2:17" x14ac:dyDescent="0.2">
      <c r="B21" s="59" t="s">
        <v>50</v>
      </c>
      <c r="C21" s="60"/>
      <c r="D21" s="61">
        <v>5</v>
      </c>
      <c r="E21" s="32"/>
      <c r="F21" s="32"/>
      <c r="G21" s="32"/>
      <c r="H21" s="32"/>
      <c r="I21" s="32"/>
      <c r="J21" s="20"/>
      <c r="K21" s="39"/>
      <c r="N21" s="147"/>
    </row>
    <row r="22" spans="2:17" ht="33.75" customHeight="1" x14ac:dyDescent="0.2">
      <c r="B22" s="180" t="s">
        <v>52</v>
      </c>
      <c r="C22" s="173" t="s">
        <v>58</v>
      </c>
      <c r="D22" s="173"/>
      <c r="E22" s="173"/>
      <c r="F22" s="173" t="s">
        <v>59</v>
      </c>
      <c r="G22" s="173"/>
      <c r="H22" s="173"/>
      <c r="I22" s="180" t="s">
        <v>14</v>
      </c>
      <c r="J22" s="180" t="s">
        <v>9</v>
      </c>
      <c r="K22" s="39"/>
    </row>
    <row r="23" spans="2:17" x14ac:dyDescent="0.2">
      <c r="B23" s="181"/>
      <c r="C23" s="69" t="str">
        <f>C4</f>
        <v>ИИ</v>
      </c>
      <c r="D23" s="149" t="str">
        <f t="shared" ref="D23:H23" si="4">D4</f>
        <v>Оптика</v>
      </c>
      <c r="E23" s="149" t="str">
        <f t="shared" si="4"/>
        <v>Ист Энергии</v>
      </c>
      <c r="F23" s="149" t="str">
        <f t="shared" si="4"/>
        <v xml:space="preserve">  Робот прз</v>
      </c>
      <c r="G23" s="149" t="str">
        <f t="shared" si="4"/>
        <v>КосмТех</v>
      </c>
      <c r="H23" s="149" t="str">
        <f t="shared" si="4"/>
        <v>ЭлемБаза</v>
      </c>
      <c r="I23" s="181"/>
      <c r="J23" s="181"/>
      <c r="K23" s="39"/>
    </row>
    <row r="24" spans="2:17" ht="32" x14ac:dyDescent="0.2">
      <c r="B24" s="27" t="str">
        <f>B5</f>
        <v>Астероидная опасность</v>
      </c>
      <c r="C24" s="37">
        <f>IF(C5&gt;$D$21,2^((1-$D$21/C5)/$L$69),2^(-LOG($D$21/C5,$L$68)))</f>
        <v>0.39590531840660631</v>
      </c>
      <c r="D24" s="37">
        <f t="shared" ref="C24:I28" si="5">IF(D5&gt;$D$21,2^((1-$D$21/D5)/$L$69),2^(-LOG($D$21/D5,$L$68)))</f>
        <v>1.1960385770843933</v>
      </c>
      <c r="E24" s="37">
        <f t="shared" si="5"/>
        <v>1.1960470410367428</v>
      </c>
      <c r="F24" s="37">
        <f t="shared" si="5"/>
        <v>0.39590531840660631</v>
      </c>
      <c r="G24" s="37">
        <f t="shared" si="5"/>
        <v>1.3660941716381407</v>
      </c>
      <c r="H24" s="37">
        <f t="shared" si="5"/>
        <v>1.366121329164099</v>
      </c>
      <c r="I24" s="37">
        <f t="shared" si="5"/>
        <v>0.39590531840660631</v>
      </c>
      <c r="J24" s="37">
        <f>SUM(C24:I24)</f>
        <v>6.3120170741431947</v>
      </c>
      <c r="K24" s="39"/>
    </row>
    <row r="25" spans="2:17" ht="16" x14ac:dyDescent="0.2">
      <c r="B25" s="27" t="str">
        <f t="shared" ref="B25:B28" si="6">B6</f>
        <v>5G из космоса</v>
      </c>
      <c r="C25" s="37">
        <f t="shared" si="5"/>
        <v>1.2289352809007723</v>
      </c>
      <c r="D25" s="37">
        <f t="shared" si="5"/>
        <v>0.39590531840660631</v>
      </c>
      <c r="E25" s="37">
        <f t="shared" si="5"/>
        <v>1.2288987678868781</v>
      </c>
      <c r="F25" s="37">
        <f t="shared" si="5"/>
        <v>1.3899366144889254</v>
      </c>
      <c r="G25" s="37">
        <f t="shared" si="5"/>
        <v>1.3899186581928242</v>
      </c>
      <c r="H25" s="37">
        <f t="shared" si="5"/>
        <v>1.3898696263948753</v>
      </c>
      <c r="I25" s="37">
        <f t="shared" si="5"/>
        <v>0.39590531840660631</v>
      </c>
      <c r="J25" s="37">
        <f t="shared" ref="J25:J28" si="7">SUM(C25:I25)</f>
        <v>7.4193695846774883</v>
      </c>
      <c r="K25" s="39"/>
    </row>
    <row r="26" spans="2:17" ht="16" x14ac:dyDescent="0.2">
      <c r="B26" s="27" t="str">
        <f t="shared" si="6"/>
        <v>Навигация 2.0</v>
      </c>
      <c r="C26" s="37">
        <f t="shared" si="5"/>
        <v>1.2893296811496846</v>
      </c>
      <c r="D26" s="37">
        <f t="shared" si="5"/>
        <v>0.39590531840660631</v>
      </c>
      <c r="E26" s="37">
        <f t="shared" si="5"/>
        <v>1.2893382698679225</v>
      </c>
      <c r="F26" s="37">
        <f t="shared" si="5"/>
        <v>1.4334795897934476</v>
      </c>
      <c r="G26" s="37">
        <f t="shared" si="5"/>
        <v>1.4334912657085532</v>
      </c>
      <c r="H26" s="37">
        <f t="shared" si="5"/>
        <v>1.4334749218905607</v>
      </c>
      <c r="I26" s="37">
        <f>IF(I7&gt;$D$21,2^((1-$D$21/I7)/$L$69),2^(-LOG($D$21/I7,$L$68)))</f>
        <v>1.5984926239228043</v>
      </c>
      <c r="J26" s="37">
        <f t="shared" si="7"/>
        <v>8.8735116707395782</v>
      </c>
      <c r="K26" s="39"/>
    </row>
    <row r="27" spans="2:17" ht="32" x14ac:dyDescent="0.2">
      <c r="B27" s="27" t="str">
        <f t="shared" si="6"/>
        <v>Энергетика транспорт</v>
      </c>
      <c r="C27" s="37">
        <f t="shared" si="5"/>
        <v>0.39590531840660631</v>
      </c>
      <c r="D27" s="37">
        <f t="shared" si="5"/>
        <v>0.39590531840660631</v>
      </c>
      <c r="E27" s="37">
        <f t="shared" si="5"/>
        <v>1.3116965392580862</v>
      </c>
      <c r="F27" s="37">
        <f t="shared" si="5"/>
        <v>0.39590531840660631</v>
      </c>
      <c r="G27" s="37">
        <f t="shared" si="5"/>
        <v>0.39590531840660631</v>
      </c>
      <c r="H27" s="37">
        <f t="shared" si="5"/>
        <v>1.4495165941134174</v>
      </c>
      <c r="I27" s="37">
        <f t="shared" si="5"/>
        <v>1.6069658904530897</v>
      </c>
      <c r="J27" s="37">
        <f t="shared" si="7"/>
        <v>5.9518002974510189</v>
      </c>
      <c r="K27" s="39"/>
    </row>
    <row r="28" spans="2:17" ht="16" x14ac:dyDescent="0.2">
      <c r="B28" s="27" t="str">
        <f t="shared" si="6"/>
        <v>ОптоКванты</v>
      </c>
      <c r="C28" s="37">
        <f t="shared" si="5"/>
        <v>1.3559650061434751</v>
      </c>
      <c r="D28" s="37">
        <f t="shared" si="5"/>
        <v>1.35596221821139</v>
      </c>
      <c r="E28" s="37">
        <f t="shared" si="5"/>
        <v>0.39590531840660631</v>
      </c>
      <c r="F28" s="37">
        <f t="shared" si="5"/>
        <v>0.39590531840660631</v>
      </c>
      <c r="G28" s="37">
        <f t="shared" si="5"/>
        <v>0.39590531840660631</v>
      </c>
      <c r="H28" s="37">
        <f t="shared" si="5"/>
        <v>1.4812434197915973</v>
      </c>
      <c r="I28" s="37">
        <f t="shared" si="5"/>
        <v>1.6236144230462062</v>
      </c>
      <c r="J28" s="37">
        <f t="shared" si="7"/>
        <v>7.0045010224124873</v>
      </c>
      <c r="L28" s="39"/>
    </row>
    <row r="29" spans="2:17" x14ac:dyDescent="0.2">
      <c r="B29" s="29"/>
      <c r="C29" s="39"/>
      <c r="D29" s="39"/>
      <c r="E29" s="39"/>
      <c r="F29" s="39"/>
      <c r="G29" s="39"/>
      <c r="H29" s="39"/>
      <c r="I29" s="39"/>
      <c r="J29" s="39"/>
      <c r="L29" s="39"/>
    </row>
    <row r="30" spans="2:17" x14ac:dyDescent="0.2">
      <c r="B30" s="167" t="s">
        <v>61</v>
      </c>
      <c r="C30" s="186"/>
      <c r="D30" s="186"/>
      <c r="E30" s="186"/>
      <c r="F30" s="186"/>
      <c r="G30" s="186"/>
      <c r="H30" s="186"/>
      <c r="I30" s="186"/>
      <c r="J30" s="189"/>
      <c r="L30" s="39"/>
    </row>
    <row r="31" spans="2:17" ht="30" customHeight="1" x14ac:dyDescent="0.2">
      <c r="B31" s="180" t="s">
        <v>52</v>
      </c>
      <c r="C31" s="173" t="s">
        <v>58</v>
      </c>
      <c r="D31" s="173"/>
      <c r="E31" s="173"/>
      <c r="F31" s="173" t="s">
        <v>59</v>
      </c>
      <c r="G31" s="173"/>
      <c r="H31" s="173"/>
      <c r="I31" s="180" t="s">
        <v>14</v>
      </c>
      <c r="J31" s="180" t="s">
        <v>9</v>
      </c>
      <c r="L31" s="39"/>
    </row>
    <row r="32" spans="2:17" x14ac:dyDescent="0.2">
      <c r="B32" s="181"/>
      <c r="C32" s="69" t="str">
        <f>C4</f>
        <v>ИИ</v>
      </c>
      <c r="D32" s="149" t="str">
        <f t="shared" ref="D32:H32" si="8">D4</f>
        <v>Оптика</v>
      </c>
      <c r="E32" s="149" t="str">
        <f t="shared" si="8"/>
        <v>Ист Энергии</v>
      </c>
      <c r="F32" s="149" t="str">
        <f t="shared" si="8"/>
        <v xml:space="preserve">  Робот прз</v>
      </c>
      <c r="G32" s="149" t="str">
        <f t="shared" si="8"/>
        <v>КосмТех</v>
      </c>
      <c r="H32" s="149" t="str">
        <f t="shared" si="8"/>
        <v>ЭлемБаза</v>
      </c>
      <c r="I32" s="181"/>
      <c r="J32" s="181"/>
      <c r="L32" s="39"/>
    </row>
    <row r="33" spans="2:12" ht="16" x14ac:dyDescent="0.2">
      <c r="B33" s="27" t="str">
        <f>B16</f>
        <v>П1</v>
      </c>
      <c r="C33" s="103">
        <f>C16*$C$100*M16*$C$97</f>
        <v>16541.023708498466</v>
      </c>
      <c r="D33" s="53">
        <f>D16*$C$100*M16*$D$97</f>
        <v>3.092442619589336E-7</v>
      </c>
      <c r="E33" s="53">
        <f>E16*$C$100*M16*$E$97</f>
        <v>6903.7305513075407</v>
      </c>
      <c r="F33" s="53">
        <f>F16*$C$100*N16*$F$97</f>
        <v>16917.876780064595</v>
      </c>
      <c r="G33" s="53">
        <f>G16*$C$100*N16*$G$97</f>
        <v>1434.0346090328173</v>
      </c>
      <c r="H33" s="53">
        <f>H16*$C$100*N16*$H$97</f>
        <v>8254.4919652769531</v>
      </c>
      <c r="I33" s="53">
        <f>I16*$C$100*O16*$I$97</f>
        <v>673.39652117304854</v>
      </c>
      <c r="J33" s="53">
        <f>SUM(C33:I33)</f>
        <v>50724.554135662656</v>
      </c>
      <c r="L33" s="39"/>
    </row>
    <row r="34" spans="2:12" ht="16" x14ac:dyDescent="0.2">
      <c r="B34" s="27" t="str">
        <f t="shared" ref="B34:B35" si="9">B17</f>
        <v>П2</v>
      </c>
      <c r="C34" s="53">
        <f>C17*$C$101*M17*$C$97</f>
        <v>965.47089338903618</v>
      </c>
      <c r="D34" s="53">
        <f>D17*$C$101*M17*$D$97</f>
        <v>12240.108313834367</v>
      </c>
      <c r="E34" s="53">
        <f>E17*$C$101*M17*$E$97</f>
        <v>2646.0617862805802</v>
      </c>
      <c r="F34" s="53">
        <f>F17*$C$101*N17*$F$97</f>
        <v>3.4693487558473067E-7</v>
      </c>
      <c r="G34" s="53">
        <f>G17*$C$101*N17*$G$97</f>
        <v>26669.712459234779</v>
      </c>
      <c r="H34" s="53">
        <f>H17*$C$101*N17*$H$97</f>
        <v>12834.054830089042</v>
      </c>
      <c r="I34" s="53">
        <f>I17*$C$101*O17*$I$97</f>
        <v>550.13657447756339</v>
      </c>
      <c r="J34" s="53">
        <f t="shared" ref="J34:J35" si="10">SUM(C34:I34)</f>
        <v>55905.544857652305</v>
      </c>
      <c r="L34" s="39"/>
    </row>
    <row r="35" spans="2:12" ht="16" x14ac:dyDescent="0.2">
      <c r="B35" s="27" t="str">
        <f t="shared" si="9"/>
        <v>П3</v>
      </c>
      <c r="C35" s="53">
        <f>C18*$C$102*M18</f>
        <v>6.0999999756256029E-7</v>
      </c>
      <c r="D35" s="53">
        <f>D18*$C$102*M18</f>
        <v>6.1000005047162631E-7</v>
      </c>
      <c r="E35" s="53">
        <f>E18*$C$102*M18</f>
        <v>10603.603797288823</v>
      </c>
      <c r="F35" s="53">
        <f>F18*$C$102*N18</f>
        <v>2.7450000000016593E-6</v>
      </c>
      <c r="G35" s="53">
        <f>G18*$C$102*N18</f>
        <v>2.7449999999987531E-6</v>
      </c>
      <c r="H35" s="53">
        <f>H18*$C$102*N18</f>
        <v>25539.830544838962</v>
      </c>
      <c r="I35" s="53">
        <f>I18*$C$102*O18</f>
        <v>38226.466883911213</v>
      </c>
      <c r="J35" s="53">
        <f t="shared" si="10"/>
        <v>74369.901232748991</v>
      </c>
      <c r="L35" s="39"/>
    </row>
    <row r="36" spans="2:12" x14ac:dyDescent="0.2">
      <c r="B36" s="28" t="s">
        <v>27</v>
      </c>
      <c r="C36" s="65">
        <f>SUM(C33:C35)</f>
        <v>17506.494602497503</v>
      </c>
      <c r="D36" s="65">
        <f t="shared" ref="D36:I36" si="11">SUM(D33:D35)</f>
        <v>12240.108314753612</v>
      </c>
      <c r="E36" s="65">
        <f t="shared" si="11"/>
        <v>20153.396134876944</v>
      </c>
      <c r="F36" s="65">
        <f t="shared" si="11"/>
        <v>16917.876783156531</v>
      </c>
      <c r="G36" s="65">
        <f t="shared" si="11"/>
        <v>28103.747071012596</v>
      </c>
      <c r="H36" s="65">
        <f t="shared" si="11"/>
        <v>46628.377340204956</v>
      </c>
      <c r="I36" s="65">
        <f t="shared" si="11"/>
        <v>39449.999979561828</v>
      </c>
      <c r="J36" s="65">
        <f>SUM(J33:J35)</f>
        <v>181000.00022606394</v>
      </c>
      <c r="L36" s="39"/>
    </row>
    <row r="37" spans="2:12" x14ac:dyDescent="0.2">
      <c r="L37" s="39"/>
    </row>
    <row r="38" spans="2:12" ht="15" customHeight="1" x14ac:dyDescent="0.2">
      <c r="B38" s="174" t="s">
        <v>10</v>
      </c>
      <c r="C38" s="174"/>
      <c r="D38" s="174"/>
      <c r="E38" s="174"/>
      <c r="F38" s="174"/>
      <c r="G38" s="174"/>
      <c r="H38" s="174"/>
      <c r="I38" s="174"/>
      <c r="J38" s="174"/>
    </row>
    <row r="39" spans="2:12" ht="35.25" customHeight="1" x14ac:dyDescent="0.2">
      <c r="B39" s="180" t="s">
        <v>52</v>
      </c>
      <c r="C39" s="173" t="s">
        <v>58</v>
      </c>
      <c r="D39" s="173"/>
      <c r="E39" s="173"/>
      <c r="F39" s="173" t="s">
        <v>59</v>
      </c>
      <c r="G39" s="173"/>
      <c r="H39" s="173"/>
      <c r="I39" s="180" t="s">
        <v>14</v>
      </c>
      <c r="J39" s="177" t="s">
        <v>15</v>
      </c>
    </row>
    <row r="40" spans="2:12" x14ac:dyDescent="0.2">
      <c r="B40" s="181"/>
      <c r="C40" s="69" t="str">
        <f>C4</f>
        <v>ИИ</v>
      </c>
      <c r="D40" s="149" t="str">
        <f t="shared" ref="D40:H40" si="12">D4</f>
        <v>Оптика</v>
      </c>
      <c r="E40" s="149" t="str">
        <f t="shared" si="12"/>
        <v>Ист Энергии</v>
      </c>
      <c r="F40" s="149" t="str">
        <f t="shared" si="12"/>
        <v xml:space="preserve">  Робот прз</v>
      </c>
      <c r="G40" s="149" t="str">
        <f t="shared" si="12"/>
        <v>КосмТех</v>
      </c>
      <c r="H40" s="149" t="str">
        <f t="shared" si="12"/>
        <v>ЭлемБаза</v>
      </c>
      <c r="I40" s="181"/>
      <c r="J40" s="177"/>
    </row>
    <row r="41" spans="2:12" ht="32" x14ac:dyDescent="0.2">
      <c r="B41" s="27" t="str">
        <f>B5</f>
        <v>Астероидная опасность</v>
      </c>
      <c r="C41" s="11">
        <f>IF(Input!C8=0, 10^(-25), Input!C8)</f>
        <v>9.9999999999999992E-26</v>
      </c>
      <c r="D41" s="11">
        <f>IF(Input!D8=0, 10^(-25), Input!D8)</f>
        <v>10</v>
      </c>
      <c r="E41" s="11">
        <f>IF(Input!E8=0, 10^(-25), Input!E8)</f>
        <v>10</v>
      </c>
      <c r="F41" s="11">
        <f>IF(Input!F8=0, 10^(-25), Input!F8)</f>
        <v>9.9999999999999992E-26</v>
      </c>
      <c r="G41" s="11">
        <f>IF(Input!G8=0, 10^(-25), Input!G8)</f>
        <v>60</v>
      </c>
      <c r="H41" s="11">
        <f>IF(Input!H8=0, 10^(-25), Input!H8)</f>
        <v>20</v>
      </c>
      <c r="I41" s="11">
        <f>IF(Input!I8=0, 10^(-25), Input!I8)</f>
        <v>9.9999999999999992E-26</v>
      </c>
      <c r="J41" s="12">
        <f>100-C41-D41-E41-F41-G41-H41-I41</f>
        <v>-9.9999999999999992E-26</v>
      </c>
    </row>
    <row r="42" spans="2:12" ht="16" x14ac:dyDescent="0.2">
      <c r="B42" s="27" t="str">
        <f t="shared" ref="B42:B45" si="13">B6</f>
        <v>5G из космоса</v>
      </c>
      <c r="C42" s="11">
        <f>IF(Input!C9=0, 10^(-25), Input!C9)</f>
        <v>10</v>
      </c>
      <c r="D42" s="11">
        <f>IF(Input!D9=0, 10^(-25), Input!D9)</f>
        <v>9.9999999999999992E-26</v>
      </c>
      <c r="E42" s="11">
        <f>IF(Input!E9=0, 10^(-25), Input!E9)</f>
        <v>30</v>
      </c>
      <c r="F42" s="11">
        <f>IF(Input!F9=0, 10^(-25), Input!F9)</f>
        <v>10</v>
      </c>
      <c r="G42" s="11">
        <f>IF(Input!G9=0, 10^(-25), Input!G9)</f>
        <v>30</v>
      </c>
      <c r="H42" s="11">
        <f>IF(Input!H9=0, 10^(-25), Input!H9)</f>
        <v>20</v>
      </c>
      <c r="I42" s="11">
        <f>IF(Input!I9=0, 10^(-25), Input!I9)</f>
        <v>9.9999999999999992E-26</v>
      </c>
      <c r="J42" s="12">
        <f t="shared" ref="J42:J45" si="14">100-C42-D42-E42-F42-G42-H42-I42</f>
        <v>-9.9999999999999992E-26</v>
      </c>
    </row>
    <row r="43" spans="2:12" ht="16" x14ac:dyDescent="0.2">
      <c r="B43" s="27" t="str">
        <f t="shared" si="13"/>
        <v>Навигация 2.0</v>
      </c>
      <c r="C43" s="11">
        <f>IF(Input!C10=0, 10^(-25), Input!C10)</f>
        <v>20</v>
      </c>
      <c r="D43" s="11">
        <f>IF(Input!D10=0, 10^(-25), Input!D10)</f>
        <v>9.9999999999999992E-26</v>
      </c>
      <c r="E43" s="11">
        <f>IF(Input!E10=0, 10^(-25), Input!E10)</f>
        <v>5</v>
      </c>
      <c r="F43" s="11">
        <f>IF(Input!F10=0, 10^(-25), Input!F10)</f>
        <v>15</v>
      </c>
      <c r="G43" s="11">
        <f>IF(Input!G10=0, 10^(-25), Input!G10)</f>
        <v>15</v>
      </c>
      <c r="H43" s="11">
        <f>IF(Input!H10=0, 10^(-25), Input!H10)</f>
        <v>20</v>
      </c>
      <c r="I43" s="11">
        <f>IF(Input!I10=0, 10^(-25), Input!I10)</f>
        <v>25</v>
      </c>
      <c r="J43" s="12">
        <f t="shared" si="14"/>
        <v>0</v>
      </c>
    </row>
    <row r="44" spans="2:12" ht="32" x14ac:dyDescent="0.2">
      <c r="B44" s="27" t="str">
        <f t="shared" si="13"/>
        <v>Энергетика транспорт</v>
      </c>
      <c r="C44" s="11">
        <f>IF(Input!C11=0, 10^(-25), Input!C11)</f>
        <v>9.9999999999999992E-26</v>
      </c>
      <c r="D44" s="11">
        <f>IF(Input!D11=0, 10^(-25), Input!D11)</f>
        <v>9.9999999999999992E-26</v>
      </c>
      <c r="E44" s="11">
        <f>IF(Input!E11=0, 10^(-25), Input!E11)</f>
        <v>70</v>
      </c>
      <c r="F44" s="11">
        <f>IF(Input!F11=0, 10^(-25), Input!F11)</f>
        <v>9.9999999999999992E-26</v>
      </c>
      <c r="G44" s="11">
        <f>IF(Input!G11=0, 10^(-25), Input!G11)</f>
        <v>9.9999999999999992E-26</v>
      </c>
      <c r="H44" s="11">
        <f>IF(Input!H11=0, 10^(-25), Input!H11)</f>
        <v>10</v>
      </c>
      <c r="I44" s="11">
        <f>IF(Input!I11=0, 10^(-25), Input!I11)</f>
        <v>20</v>
      </c>
      <c r="J44" s="12">
        <f t="shared" si="14"/>
        <v>0</v>
      </c>
    </row>
    <row r="45" spans="2:12" ht="16" x14ac:dyDescent="0.2">
      <c r="B45" s="27" t="str">
        <f t="shared" si="13"/>
        <v>ОптоКванты</v>
      </c>
      <c r="C45" s="11">
        <f>IF(Input!C12=0, 10^(-25), Input!C12)</f>
        <v>15</v>
      </c>
      <c r="D45" s="11">
        <f>IF(Input!D12=0, 10^(-25), Input!D12)</f>
        <v>60</v>
      </c>
      <c r="E45" s="11">
        <f>IF(Input!E12=0, 10^(-25), Input!E12)</f>
        <v>9.9999999999999992E-26</v>
      </c>
      <c r="F45" s="11">
        <f>IF(Input!F12=0, 10^(-25), Input!F12)</f>
        <v>9.9999999999999992E-26</v>
      </c>
      <c r="G45" s="11">
        <f>IF(Input!G12=0, 10^(-25), Input!G12)</f>
        <v>9.9999999999999992E-26</v>
      </c>
      <c r="H45" s="11">
        <f>IF(Input!H12=0, 10^(-25), Input!H12)</f>
        <v>15</v>
      </c>
      <c r="I45" s="11">
        <f>IF(Input!I12=0, 10^(-25), Input!I12)</f>
        <v>10</v>
      </c>
      <c r="J45" s="12">
        <f t="shared" si="14"/>
        <v>0</v>
      </c>
    </row>
    <row r="47" spans="2:12" x14ac:dyDescent="0.2">
      <c r="B47" s="196" t="s">
        <v>47</v>
      </c>
      <c r="C47" s="195"/>
      <c r="D47" s="195"/>
      <c r="E47" s="195"/>
      <c r="F47" s="195"/>
      <c r="G47" s="195"/>
      <c r="H47" s="195"/>
      <c r="I47" s="195"/>
      <c r="J47" s="58"/>
    </row>
    <row r="48" spans="2:12" x14ac:dyDescent="0.2">
      <c r="B48" s="59" t="s">
        <v>50</v>
      </c>
      <c r="C48" s="60"/>
      <c r="D48" s="61">
        <v>7</v>
      </c>
      <c r="E48" s="8"/>
      <c r="F48" s="8"/>
      <c r="G48" s="8"/>
      <c r="H48" s="8"/>
      <c r="I48" s="8"/>
      <c r="J48" s="58"/>
    </row>
    <row r="49" spans="2:12" ht="39" customHeight="1" x14ac:dyDescent="0.2">
      <c r="B49" s="180" t="s">
        <v>52</v>
      </c>
      <c r="C49" s="173" t="s">
        <v>58</v>
      </c>
      <c r="D49" s="173"/>
      <c r="E49" s="173"/>
      <c r="F49" s="173" t="s">
        <v>59</v>
      </c>
      <c r="G49" s="173"/>
      <c r="H49" s="173"/>
      <c r="I49" s="180" t="s">
        <v>14</v>
      </c>
      <c r="J49" s="30"/>
    </row>
    <row r="50" spans="2:12" x14ac:dyDescent="0.2">
      <c r="B50" s="181"/>
      <c r="C50" s="69" t="str">
        <f>C4</f>
        <v>ИИ</v>
      </c>
      <c r="D50" s="149" t="str">
        <f t="shared" ref="D50:H50" si="15">D4</f>
        <v>Оптика</v>
      </c>
      <c r="E50" s="149" t="str">
        <f t="shared" si="15"/>
        <v>Ист Энергии</v>
      </c>
      <c r="F50" s="149" t="str">
        <f t="shared" si="15"/>
        <v xml:space="preserve">  Робот прз</v>
      </c>
      <c r="G50" s="149" t="str">
        <f t="shared" si="15"/>
        <v>КосмТех</v>
      </c>
      <c r="H50" s="149" t="str">
        <f t="shared" si="15"/>
        <v>ЭлемБаза</v>
      </c>
      <c r="I50" s="181"/>
    </row>
    <row r="51" spans="2:12" x14ac:dyDescent="0.2">
      <c r="B51" s="3" t="str">
        <f>B5</f>
        <v>Астероидная опасность</v>
      </c>
      <c r="C51" s="36">
        <f>IF(C41&gt;$D$48,2^((1-$D$48/C41)/$L$69),2^(-LOG($D$48/C41,$L$68)))</f>
        <v>1.3199179392789783E-15</v>
      </c>
      <c r="D51" s="36">
        <f t="shared" ref="D51:H51" si="16">IF(D41&gt;$D$48,2^((1-$D$48/D41)/$L$69),2^(-LOG($D$48/D41,$L$68)))</f>
        <v>1.188527317903161</v>
      </c>
      <c r="E51" s="36">
        <f t="shared" si="16"/>
        <v>1.188527317903161</v>
      </c>
      <c r="F51" s="36">
        <f t="shared" si="16"/>
        <v>1.3199179392789783E-15</v>
      </c>
      <c r="G51" s="36">
        <f t="shared" si="16"/>
        <v>1.6628777750867312</v>
      </c>
      <c r="H51" s="36">
        <f t="shared" si="16"/>
        <v>1.4538508832396337</v>
      </c>
      <c r="I51" s="36">
        <f>IF(I41&gt;25,2^((1-25/I41)/$L$69),2^(-LOG(25/I41,$L$68)))</f>
        <v>6.3425895761867522E-16</v>
      </c>
    </row>
    <row r="52" spans="2:12" x14ac:dyDescent="0.2">
      <c r="B52" s="3" t="str">
        <f t="shared" ref="B52:B55" si="17">B6</f>
        <v>5G из космоса</v>
      </c>
      <c r="C52" s="36">
        <f t="shared" ref="C52:H52" si="18">IF(C42&gt;$D$48,2^((1-$D$48/C42)/$L$69),2^(-LOG($D$48/C42,$L$68)))</f>
        <v>1.188527317903161</v>
      </c>
      <c r="D52" s="36">
        <f t="shared" si="18"/>
        <v>1.3199179392789783E-15</v>
      </c>
      <c r="E52" s="36">
        <f t="shared" si="18"/>
        <v>1.5548557238629572</v>
      </c>
      <c r="F52" s="36">
        <f t="shared" si="18"/>
        <v>1.188527317903161</v>
      </c>
      <c r="G52" s="36">
        <f t="shared" si="18"/>
        <v>1.5548557238629572</v>
      </c>
      <c r="H52" s="36">
        <f t="shared" si="18"/>
        <v>1.4538508832396337</v>
      </c>
      <c r="I52" s="36">
        <f>IF(I42&gt;25,2^((1-25/I42)/$L$69),2^(-LOG(25/I42,$L$68)))</f>
        <v>6.3425895761867522E-16</v>
      </c>
    </row>
    <row r="53" spans="2:12" x14ac:dyDescent="0.2">
      <c r="B53" s="3" t="str">
        <f t="shared" si="17"/>
        <v>Навигация 2.0</v>
      </c>
      <c r="C53" s="36">
        <f t="shared" ref="C53:H53" si="19">IF(C43&gt;$D$48,2^((1-$D$48/C43)/$L$69),2^(-LOG($D$48/C43,$L$68)))</f>
        <v>1.4538508832396337</v>
      </c>
      <c r="D53" s="36">
        <f t="shared" si="19"/>
        <v>1.3199179392789783E-15</v>
      </c>
      <c r="E53" s="36">
        <f t="shared" si="19"/>
        <v>0.82389460289658023</v>
      </c>
      <c r="F53" s="36">
        <f t="shared" si="19"/>
        <v>1.3594074088400498</v>
      </c>
      <c r="G53" s="36">
        <f t="shared" si="19"/>
        <v>1.3594074088400498</v>
      </c>
      <c r="H53" s="36">
        <f t="shared" si="19"/>
        <v>1.4538508832396337</v>
      </c>
      <c r="I53" s="36">
        <f>IF(I43&gt;25,2^((1-25/I43)/$L$69),2^(-LOG(25/I43,$L$68)))</f>
        <v>1</v>
      </c>
    </row>
    <row r="54" spans="2:12" x14ac:dyDescent="0.2">
      <c r="B54" s="3" t="str">
        <f t="shared" si="17"/>
        <v>Энергетика транспорт</v>
      </c>
      <c r="C54" s="36">
        <f t="shared" ref="C54:H54" si="20">IF(C44&gt;$D$48,2^((1-$D$48/C44)/$L$69),2^(-LOG($D$48/C44,$L$68)))</f>
        <v>1.3199179392789783E-15</v>
      </c>
      <c r="D54" s="36">
        <f t="shared" si="20"/>
        <v>1.3199179392789783E-15</v>
      </c>
      <c r="E54" s="36">
        <f t="shared" si="20"/>
        <v>1.6789103440434905</v>
      </c>
      <c r="F54" s="36">
        <f t="shared" si="20"/>
        <v>1.3199179392789783E-15</v>
      </c>
      <c r="G54" s="36">
        <f t="shared" si="20"/>
        <v>1.3199179392789783E-15</v>
      </c>
      <c r="H54" s="36">
        <f t="shared" si="20"/>
        <v>1.188527317903161</v>
      </c>
      <c r="I54" s="36">
        <f>IF(I44&gt;25,2^((1-25/I44)/$L$69),2^(-LOG(25/I44,$L$68)))</f>
        <v>0.87944218238130345</v>
      </c>
    </row>
    <row r="55" spans="2:12" x14ac:dyDescent="0.2">
      <c r="B55" s="3" t="str">
        <f t="shared" si="17"/>
        <v>ОптоКванты</v>
      </c>
      <c r="C55" s="36">
        <f t="shared" ref="C55:H55" si="21">IF(C45&gt;$D$48,2^((1-$D$48/C45)/$L$69),2^(-LOG($D$48/C45,$L$68)))</f>
        <v>1.3594074088400498</v>
      </c>
      <c r="D55" s="36">
        <f t="shared" si="21"/>
        <v>1.6628777750867312</v>
      </c>
      <c r="E55" s="36">
        <f t="shared" si="21"/>
        <v>1.3199179392789783E-15</v>
      </c>
      <c r="F55" s="36">
        <f t="shared" si="21"/>
        <v>1.3199179392789783E-15</v>
      </c>
      <c r="G55" s="36">
        <f t="shared" si="21"/>
        <v>1.3199179392789783E-15</v>
      </c>
      <c r="H55" s="36">
        <f t="shared" si="21"/>
        <v>1.3594074088400498</v>
      </c>
      <c r="I55" s="36">
        <f>IF(I45&gt;25,2^((1-25/I45)/$L$69),2^(-LOG(25/I45,$L$68)))</f>
        <v>0.59006426534392897</v>
      </c>
    </row>
    <row r="56" spans="2:12" x14ac:dyDescent="0.2">
      <c r="B56" s="29"/>
    </row>
    <row r="57" spans="2:12" x14ac:dyDescent="0.2">
      <c r="B57" s="167" t="s">
        <v>49</v>
      </c>
      <c r="C57" s="168"/>
      <c r="D57" s="168"/>
      <c r="E57" s="168"/>
      <c r="F57" s="168"/>
      <c r="G57" s="168"/>
      <c r="H57" s="168"/>
      <c r="I57" s="168"/>
      <c r="J57" s="20"/>
    </row>
    <row r="58" spans="2:12" ht="38.25" customHeight="1" x14ac:dyDescent="0.2">
      <c r="B58" s="180" t="s">
        <v>52</v>
      </c>
      <c r="C58" s="173" t="s">
        <v>58</v>
      </c>
      <c r="D58" s="173"/>
      <c r="E58" s="173"/>
      <c r="F58" s="173" t="s">
        <v>59</v>
      </c>
      <c r="G58" s="173"/>
      <c r="H58" s="173"/>
      <c r="I58" s="180" t="s">
        <v>14</v>
      </c>
      <c r="J58" s="20"/>
    </row>
    <row r="59" spans="2:12" x14ac:dyDescent="0.2">
      <c r="B59" s="181"/>
      <c r="C59" s="69" t="str">
        <f>C4</f>
        <v>ИИ</v>
      </c>
      <c r="D59" s="149" t="str">
        <f t="shared" ref="D59:G59" si="22">D4</f>
        <v>Оптика</v>
      </c>
      <c r="E59" s="149" t="str">
        <f t="shared" si="22"/>
        <v>Ист Энергии</v>
      </c>
      <c r="F59" s="149" t="str">
        <f t="shared" si="22"/>
        <v xml:space="preserve">  Робот прз</v>
      </c>
      <c r="G59" s="149" t="str">
        <f t="shared" si="22"/>
        <v>КосмТех</v>
      </c>
      <c r="H59" s="149" t="str">
        <f>H4</f>
        <v>ЭлемБаза</v>
      </c>
      <c r="I59" s="181"/>
      <c r="J59" s="20"/>
    </row>
    <row r="60" spans="2:12" x14ac:dyDescent="0.2">
      <c r="B60" s="22" t="str">
        <f>B5</f>
        <v>Астероидная опасность</v>
      </c>
      <c r="C60" s="36">
        <f>C51/C24</f>
        <v>3.3339232334418504E-15</v>
      </c>
      <c r="D60" s="36">
        <f t="shared" ref="C60:H64" si="23">D51/D24</f>
        <v>0.99371988552447643</v>
      </c>
      <c r="E60" s="36">
        <f t="shared" si="23"/>
        <v>0.99371285336146675</v>
      </c>
      <c r="F60" s="36">
        <f t="shared" si="23"/>
        <v>3.3339232334418504E-15</v>
      </c>
      <c r="G60" s="36">
        <f t="shared" si="23"/>
        <v>1.2172497398863102</v>
      </c>
      <c r="H60" s="36">
        <f t="shared" si="23"/>
        <v>1.0642179813774042</v>
      </c>
      <c r="I60" s="36">
        <f>I51*I24</f>
        <v>2.5110649456826381E-16</v>
      </c>
      <c r="J60" s="30"/>
    </row>
    <row r="61" spans="2:12" x14ac:dyDescent="0.2">
      <c r="B61" s="22" t="str">
        <f t="shared" ref="B61:B64" si="24">B6</f>
        <v>5G из космоса</v>
      </c>
      <c r="C61" s="36">
        <f t="shared" si="23"/>
        <v>0.96711953540141393</v>
      </c>
      <c r="D61" s="36">
        <f t="shared" si="23"/>
        <v>3.3339232334418504E-15</v>
      </c>
      <c r="E61" s="36">
        <f t="shared" si="23"/>
        <v>1.2652431302674101</v>
      </c>
      <c r="F61" s="36">
        <f t="shared" si="23"/>
        <v>0.85509461763490435</v>
      </c>
      <c r="G61" s="36">
        <f t="shared" si="23"/>
        <v>1.118666703765661</v>
      </c>
      <c r="H61" s="36">
        <f t="shared" si="23"/>
        <v>1.0460339988943543</v>
      </c>
      <c r="I61" s="36">
        <f>I52*I25</f>
        <v>2.5110649456826381E-16</v>
      </c>
      <c r="L61" s="71"/>
    </row>
    <row r="62" spans="2:12" x14ac:dyDescent="0.2">
      <c r="B62" s="22" t="str">
        <f t="shared" si="24"/>
        <v>Навигация 2.0</v>
      </c>
      <c r="C62" s="36">
        <f t="shared" si="23"/>
        <v>1.1276021210829854</v>
      </c>
      <c r="D62" s="36">
        <f t="shared" si="23"/>
        <v>3.3339232334418504E-15</v>
      </c>
      <c r="E62" s="36">
        <f t="shared" si="23"/>
        <v>0.63900577695640604</v>
      </c>
      <c r="F62" s="36">
        <f t="shared" si="23"/>
        <v>0.94832700689929539</v>
      </c>
      <c r="G62" s="36">
        <f t="shared" si="23"/>
        <v>0.94831928269065191</v>
      </c>
      <c r="H62" s="36">
        <f t="shared" si="23"/>
        <v>1.0142143828524044</v>
      </c>
      <c r="I62" s="36">
        <f>I53*I26</f>
        <v>1.5984926239228043</v>
      </c>
    </row>
    <row r="63" spans="2:12" x14ac:dyDescent="0.2">
      <c r="B63" s="22" t="str">
        <f t="shared" si="24"/>
        <v>Энергетика транспорт</v>
      </c>
      <c r="C63" s="36">
        <f t="shared" si="23"/>
        <v>3.3339232334418504E-15</v>
      </c>
      <c r="D63" s="36">
        <f t="shared" si="23"/>
        <v>3.3339232334418504E-15</v>
      </c>
      <c r="E63" s="36">
        <f t="shared" si="23"/>
        <v>1.2799533228875526</v>
      </c>
      <c r="F63" s="36">
        <f t="shared" si="23"/>
        <v>3.3339232334418504E-15</v>
      </c>
      <c r="G63" s="36">
        <f t="shared" si="23"/>
        <v>3.3339232334418504E-15</v>
      </c>
      <c r="H63" s="36">
        <f t="shared" si="23"/>
        <v>0.81994736916420896</v>
      </c>
      <c r="I63" s="36">
        <f>I54*I27</f>
        <v>1.4132335897123798</v>
      </c>
    </row>
    <row r="64" spans="2:12" x14ac:dyDescent="0.2">
      <c r="B64" s="22" t="str">
        <f t="shared" si="24"/>
        <v>ОптоКванты</v>
      </c>
      <c r="C64" s="36">
        <f t="shared" si="23"/>
        <v>1.0025387105721595</v>
      </c>
      <c r="D64" s="36">
        <f t="shared" si="23"/>
        <v>1.2263452128335732</v>
      </c>
      <c r="E64" s="36">
        <f t="shared" si="23"/>
        <v>3.3339232334418504E-15</v>
      </c>
      <c r="F64" s="36">
        <f t="shared" si="23"/>
        <v>3.3339232334418504E-15</v>
      </c>
      <c r="G64" s="36">
        <f t="shared" si="23"/>
        <v>3.3339232334418504E-15</v>
      </c>
      <c r="H64" s="36">
        <f t="shared" si="23"/>
        <v>0.91774747531456435</v>
      </c>
      <c r="I64" s="36">
        <f>I55*I28</f>
        <v>0.95803685173656672</v>
      </c>
    </row>
    <row r="66" spans="2:13" x14ac:dyDescent="0.2">
      <c r="B66" s="190" t="s">
        <v>26</v>
      </c>
      <c r="C66" s="195"/>
      <c r="D66" s="195"/>
      <c r="E66" s="195"/>
      <c r="F66" s="195"/>
      <c r="G66" s="195"/>
      <c r="H66" s="195"/>
      <c r="I66" s="195"/>
      <c r="J66" s="20"/>
    </row>
    <row r="67" spans="2:13" x14ac:dyDescent="0.2">
      <c r="B67" s="59" t="s">
        <v>50</v>
      </c>
      <c r="C67" s="60"/>
      <c r="D67" s="62">
        <v>0.5</v>
      </c>
      <c r="E67" s="8"/>
      <c r="F67" s="8"/>
      <c r="G67" s="8"/>
      <c r="H67" s="8"/>
      <c r="I67" s="8"/>
      <c r="J67" s="20"/>
    </row>
    <row r="68" spans="2:13" ht="28.5" customHeight="1" x14ac:dyDescent="0.2">
      <c r="B68" s="165"/>
      <c r="C68" s="173" t="s">
        <v>2</v>
      </c>
      <c r="D68" s="173"/>
      <c r="E68" s="173"/>
      <c r="F68" s="173" t="s">
        <v>56</v>
      </c>
      <c r="G68" s="173"/>
      <c r="H68" s="173"/>
      <c r="I68" s="180" t="s">
        <v>14</v>
      </c>
      <c r="J68" s="145"/>
      <c r="K68" s="146" t="s">
        <v>32</v>
      </c>
      <c r="L68" s="146">
        <f>10/3</f>
        <v>3.3333333333333335</v>
      </c>
      <c r="M68" s="146"/>
    </row>
    <row r="69" spans="2:13" x14ac:dyDescent="0.2">
      <c r="B69" s="166"/>
      <c r="C69" s="25" t="str">
        <f>C4</f>
        <v>ИИ</v>
      </c>
      <c r="D69" s="149" t="str">
        <f t="shared" ref="D69:H69" si="25">D4</f>
        <v>Оптика</v>
      </c>
      <c r="E69" s="149" t="str">
        <f t="shared" si="25"/>
        <v>Ист Энергии</v>
      </c>
      <c r="F69" s="149" t="str">
        <f t="shared" si="25"/>
        <v xml:space="preserve">  Робот прз</v>
      </c>
      <c r="G69" s="149" t="str">
        <f t="shared" si="25"/>
        <v>КосмТех</v>
      </c>
      <c r="H69" s="149" t="str">
        <f t="shared" si="25"/>
        <v>ЭлемБаза</v>
      </c>
      <c r="I69" s="181"/>
      <c r="J69" s="145"/>
      <c r="K69" s="146" t="s">
        <v>31</v>
      </c>
      <c r="L69" s="146">
        <f>LN(10/3)</f>
        <v>1.2039728043259361</v>
      </c>
      <c r="M69" s="146"/>
    </row>
    <row r="70" spans="2:13" x14ac:dyDescent="0.2">
      <c r="B70" s="22" t="str">
        <f>B5</f>
        <v>Астероидная опасность</v>
      </c>
      <c r="C70" s="36">
        <f>IF(C60&gt;$D$67,2^((1-$D$67/C60)/$L$69),2^(-LOG($D$67/C60,$L$68)))</f>
        <v>6.8965609804165614E-9</v>
      </c>
      <c r="D70" s="36">
        <f t="shared" ref="D70:H70" si="26">IF(D60&gt;$D$67,2^((1-$D$67/D60)/$L$69),2^(-LOG($D$67/D60,$L$68)))</f>
        <v>1.3311445195582814</v>
      </c>
      <c r="E70" s="36">
        <f t="shared" si="26"/>
        <v>1.3311417907841268</v>
      </c>
      <c r="F70" s="36">
        <f t="shared" si="26"/>
        <v>6.8965609804165614E-9</v>
      </c>
      <c r="G70" s="36">
        <f t="shared" si="26"/>
        <v>1.4038719440504241</v>
      </c>
      <c r="H70" s="36">
        <f t="shared" si="26"/>
        <v>1.3569350575134282</v>
      </c>
      <c r="I70" s="36">
        <f>IF(I60&gt;1,2^((1-1/I60)/$L$69),2^(-LOG(1/I60,$L$68)))</f>
        <v>1.0440915810666375E-9</v>
      </c>
      <c r="J70" s="146"/>
      <c r="K70" s="146"/>
      <c r="L70" s="146"/>
      <c r="M70" s="146"/>
    </row>
    <row r="71" spans="2:13" x14ac:dyDescent="0.2">
      <c r="B71" s="22" t="str">
        <f t="shared" ref="B71:B74" si="27">B6</f>
        <v>5G из космоса</v>
      </c>
      <c r="C71" s="36">
        <f t="shared" ref="C71:H71" si="28">IF(C61&gt;$D$67,2^((1-$D$67/C61)/$L$69),2^(-LOG($D$67/C61,$L$68)))</f>
        <v>1.3205807664733098</v>
      </c>
      <c r="D71" s="36">
        <f t="shared" si="28"/>
        <v>6.8965609804165614E-9</v>
      </c>
      <c r="E71" s="36">
        <f t="shared" si="28"/>
        <v>1.4165217355011808</v>
      </c>
      <c r="F71" s="36">
        <f>IF(F61&gt;$D$67,2^((1-$D$67/F61)/$L$69),2^(-LOG($D$67/F61,$L$68)))</f>
        <v>1.2700769601468942</v>
      </c>
      <c r="G71" s="36">
        <f t="shared" si="28"/>
        <v>1.3749178119843484</v>
      </c>
      <c r="H71" s="36">
        <f t="shared" si="28"/>
        <v>1.3505695971877669</v>
      </c>
      <c r="I71" s="36">
        <f>IF(I61&gt;1,2^((1-1/I61)/$L$69),2^(-LOG(1/I61,$L$68)))</f>
        <v>1.0440915810666375E-9</v>
      </c>
    </row>
    <row r="72" spans="2:13" x14ac:dyDescent="0.2">
      <c r="B72" s="22" t="str">
        <f t="shared" si="27"/>
        <v>Навигация 2.0</v>
      </c>
      <c r="C72" s="36">
        <f t="shared" ref="C72:H72" si="29">IF(C62&gt;$D$67,2^((1-$D$67/C62)/$L$69),2^(-LOG($D$67/C62,$L$68)))</f>
        <v>1.377724257593743</v>
      </c>
      <c r="D72" s="36">
        <f t="shared" si="29"/>
        <v>6.8965609804165614E-9</v>
      </c>
      <c r="E72" s="36">
        <f t="shared" si="29"/>
        <v>1.1334184116444679</v>
      </c>
      <c r="F72" s="36">
        <f t="shared" si="29"/>
        <v>1.3128145313945199</v>
      </c>
      <c r="G72" s="36">
        <f t="shared" si="29"/>
        <v>1.3128112855857992</v>
      </c>
      <c r="H72" s="36">
        <f t="shared" si="29"/>
        <v>1.3389593441195937</v>
      </c>
      <c r="I72" s="36">
        <f>IF(I62&gt;1,2^((1-1/I62)/$L$69),2^(-LOG(1/I62,$L$68)))</f>
        <v>1.2405495023270439</v>
      </c>
    </row>
    <row r="73" spans="2:13" x14ac:dyDescent="0.2">
      <c r="B73" s="22" t="str">
        <f t="shared" si="27"/>
        <v>Энергетика транспорт</v>
      </c>
      <c r="C73" s="36">
        <f t="shared" ref="C73:H73" si="30">IF(C63&gt;$D$67,2^((1-$D$67/C63)/$L$69),2^(-LOG($D$67/C63,$L$68)))</f>
        <v>6.8965609804165614E-9</v>
      </c>
      <c r="D73" s="36">
        <f t="shared" si="30"/>
        <v>6.8965609804165614E-9</v>
      </c>
      <c r="E73" s="36">
        <f t="shared" si="30"/>
        <v>1.4202304224722107</v>
      </c>
      <c r="F73" s="36">
        <f>IF(F63&gt;$D$67,2^((1-$D$67/F63)/$L$69),2^(-LOG($D$67/F63,$L$68)))</f>
        <v>6.8965609804165614E-9</v>
      </c>
      <c r="G73" s="36">
        <f t="shared" si="30"/>
        <v>6.8965609804165614E-9</v>
      </c>
      <c r="H73" s="36">
        <f t="shared" si="30"/>
        <v>1.2518811953155264</v>
      </c>
      <c r="I73" s="36">
        <f>IF(I63&gt;1,2^((1-1/I63)/$L$69),2^(-LOG(1/I63,$L$68)))</f>
        <v>1.1833403112687153</v>
      </c>
    </row>
    <row r="74" spans="2:13" x14ac:dyDescent="0.2">
      <c r="B74" s="22" t="str">
        <f t="shared" si="27"/>
        <v>ОптоКванты</v>
      </c>
      <c r="C74" s="36">
        <f t="shared" ref="C74:H74" si="31">IF(C64&gt;$D$67,2^((1-$D$67/C64)/$L$69),2^(-LOG($D$67/C64,$L$68)))</f>
        <v>1.3345407960004296</v>
      </c>
      <c r="D74" s="36">
        <f t="shared" si="31"/>
        <v>1.4063363942997866</v>
      </c>
      <c r="E74" s="36">
        <f t="shared" si="31"/>
        <v>6.8965609804165614E-9</v>
      </c>
      <c r="F74" s="36">
        <f t="shared" si="31"/>
        <v>6.8965609804165614E-9</v>
      </c>
      <c r="G74" s="36">
        <f t="shared" si="31"/>
        <v>6.8965609804165614E-9</v>
      </c>
      <c r="H74" s="36">
        <f t="shared" si="31"/>
        <v>1.299603483355108</v>
      </c>
      <c r="I74" s="36">
        <f>IF(I64&gt;1,2^((1-1/I64)/$L$69),2^(-LOG(1/I64,$L$68)))</f>
        <v>0.97562165475274698</v>
      </c>
    </row>
    <row r="76" spans="2:13" x14ac:dyDescent="0.2">
      <c r="B76" s="167" t="s">
        <v>12</v>
      </c>
      <c r="C76" s="186"/>
      <c r="D76" s="186"/>
      <c r="E76" s="186"/>
      <c r="F76" s="186"/>
      <c r="G76" s="186"/>
      <c r="H76" s="186"/>
      <c r="I76" s="186"/>
      <c r="J76" s="186"/>
    </row>
    <row r="77" spans="2:13" ht="30" x14ac:dyDescent="0.2">
      <c r="B77" s="180" t="s">
        <v>52</v>
      </c>
      <c r="C77" s="25" t="s">
        <v>22</v>
      </c>
      <c r="D77" s="25" t="s">
        <v>24</v>
      </c>
      <c r="E77" s="25" t="s">
        <v>16</v>
      </c>
      <c r="F77" s="25" t="s">
        <v>46</v>
      </c>
      <c r="G77" s="25" t="s">
        <v>18</v>
      </c>
      <c r="H77" s="25" t="s">
        <v>20</v>
      </c>
      <c r="I77" s="25" t="s">
        <v>21</v>
      </c>
      <c r="J77" s="180" t="s">
        <v>54</v>
      </c>
      <c r="K77" s="43"/>
    </row>
    <row r="78" spans="2:13" x14ac:dyDescent="0.2">
      <c r="B78" s="181"/>
      <c r="C78" s="42">
        <f t="shared" ref="C78:I78" si="32">C86</f>
        <v>0.13999999999999999</v>
      </c>
      <c r="D78" s="42">
        <f t="shared" si="32"/>
        <v>0.17499999999999999</v>
      </c>
      <c r="E78" s="42">
        <f t="shared" si="32"/>
        <v>6.9999999999999993E-2</v>
      </c>
      <c r="F78" s="42">
        <f t="shared" si="32"/>
        <v>7.0000000000000007E-2</v>
      </c>
      <c r="G78" s="42">
        <f t="shared" si="32"/>
        <v>0.24499999999999997</v>
      </c>
      <c r="H78" s="42">
        <f t="shared" si="32"/>
        <v>0.2</v>
      </c>
      <c r="I78" s="42">
        <f t="shared" si="32"/>
        <v>0.1</v>
      </c>
      <c r="J78" s="166"/>
      <c r="K78" s="44"/>
    </row>
    <row r="79" spans="2:13" x14ac:dyDescent="0.2">
      <c r="B79" s="22" t="str">
        <f>B5</f>
        <v>Астероидная опасность</v>
      </c>
      <c r="C79" s="37">
        <f>Input!C17</f>
        <v>1</v>
      </c>
      <c r="D79" s="37">
        <f>Input!D17</f>
        <v>0.6</v>
      </c>
      <c r="E79" s="37">
        <f>Input!E17</f>
        <v>0.4</v>
      </c>
      <c r="F79" s="37">
        <f>Input!F17</f>
        <v>0.8</v>
      </c>
      <c r="G79" s="37">
        <f>Input!G17</f>
        <v>1</v>
      </c>
      <c r="H79" s="37">
        <f>Input!H17</f>
        <v>0.4</v>
      </c>
      <c r="I79" s="37">
        <f>Input!I17</f>
        <v>0.2</v>
      </c>
      <c r="J79" s="45">
        <f>$C$78*C79+$D$78*D79+$E$78*E79+$F$78*F79+$G$78*G79+$H$78*H79+$I$78*I79</f>
        <v>0.67399999999999993</v>
      </c>
    </row>
    <row r="80" spans="2:13" x14ac:dyDescent="0.2">
      <c r="B80" s="22" t="str">
        <f t="shared" ref="B80:B83" si="33">B6</f>
        <v>5G из космоса</v>
      </c>
      <c r="C80" s="37">
        <f>Input!C18</f>
        <v>0.8</v>
      </c>
      <c r="D80" s="37">
        <f>Input!D18</f>
        <v>0.6</v>
      </c>
      <c r="E80" s="37">
        <f>Input!E18</f>
        <v>0.4</v>
      </c>
      <c r="F80" s="37">
        <f>Input!F18</f>
        <v>0.4</v>
      </c>
      <c r="G80" s="37">
        <f>Input!G18</f>
        <v>0.8</v>
      </c>
      <c r="H80" s="37">
        <f>Input!H18</f>
        <v>0.4</v>
      </c>
      <c r="I80" s="37">
        <f>Input!I18</f>
        <v>0.2</v>
      </c>
      <c r="J80" s="45">
        <f t="shared" ref="J80:J83" si="34">$C$78*C80+$D$78*D80+$E$78*E80+$F$78*F80+$G$78*G80+$H$78*H80+$I$78*I80</f>
        <v>0.56899999999999995</v>
      </c>
    </row>
    <row r="81" spans="2:12" x14ac:dyDescent="0.2">
      <c r="B81" s="22" t="str">
        <f t="shared" si="33"/>
        <v>Навигация 2.0</v>
      </c>
      <c r="C81" s="37">
        <f>Input!C19</f>
        <v>0.6</v>
      </c>
      <c r="D81" s="37">
        <f>Input!D19</f>
        <v>0.6</v>
      </c>
      <c r="E81" s="37">
        <f>Input!E19</f>
        <v>0.4</v>
      </c>
      <c r="F81" s="37">
        <f>Input!F19</f>
        <v>0.4</v>
      </c>
      <c r="G81" s="37">
        <f>Input!G19</f>
        <v>0.8</v>
      </c>
      <c r="H81" s="37">
        <f>Input!H19</f>
        <v>0.4</v>
      </c>
      <c r="I81" s="37">
        <f>Input!I19</f>
        <v>0.2</v>
      </c>
      <c r="J81" s="45">
        <f t="shared" si="34"/>
        <v>0.54099999999999993</v>
      </c>
    </row>
    <row r="82" spans="2:12" x14ac:dyDescent="0.2">
      <c r="B82" s="22" t="str">
        <f t="shared" si="33"/>
        <v>Энергетика транспорт</v>
      </c>
      <c r="C82" s="37">
        <f>Input!C20</f>
        <v>0.4</v>
      </c>
      <c r="D82" s="37">
        <f>Input!D20</f>
        <v>0.6</v>
      </c>
      <c r="E82" s="37">
        <f>Input!E20</f>
        <v>0.4</v>
      </c>
      <c r="F82" s="37">
        <f>Input!F20</f>
        <v>0.2</v>
      </c>
      <c r="G82" s="37">
        <f>Input!G20</f>
        <v>0.8</v>
      </c>
      <c r="H82" s="37">
        <f>Input!H20</f>
        <v>0.4</v>
      </c>
      <c r="I82" s="37">
        <f>Input!I20</f>
        <v>0.2</v>
      </c>
      <c r="J82" s="45">
        <f t="shared" si="34"/>
        <v>0.499</v>
      </c>
    </row>
    <row r="83" spans="2:12" x14ac:dyDescent="0.2">
      <c r="B83" s="22" t="str">
        <f t="shared" si="33"/>
        <v>ОптоКванты</v>
      </c>
      <c r="C83" s="37">
        <f>Input!C21</f>
        <v>0.2</v>
      </c>
      <c r="D83" s="37">
        <f>Input!D21</f>
        <v>0.6</v>
      </c>
      <c r="E83" s="37">
        <f>Input!E21</f>
        <v>0.4</v>
      </c>
      <c r="F83" s="37">
        <f>Input!F21</f>
        <v>0.6</v>
      </c>
      <c r="G83" s="37">
        <f>Input!G21</f>
        <v>0.2</v>
      </c>
      <c r="H83" s="37">
        <f>Input!H21</f>
        <v>0.4</v>
      </c>
      <c r="I83" s="37">
        <f>Input!I21</f>
        <v>0.2</v>
      </c>
      <c r="J83" s="45">
        <f t="shared" si="34"/>
        <v>0.35200000000000004</v>
      </c>
    </row>
    <row r="84" spans="2:12" ht="18" x14ac:dyDescent="0.2">
      <c r="B84" s="193" t="s">
        <v>191</v>
      </c>
      <c r="C84" s="194"/>
      <c r="D84" s="194"/>
      <c r="E84" s="194"/>
      <c r="F84" s="194"/>
      <c r="G84" s="194"/>
      <c r="H84" s="194"/>
      <c r="I84" s="194"/>
      <c r="J84" s="194"/>
    </row>
    <row r="86" spans="2:12" x14ac:dyDescent="0.2">
      <c r="B86" s="19" t="s">
        <v>33</v>
      </c>
      <c r="C86" s="19">
        <f>0.7*0.2</f>
        <v>0.13999999999999999</v>
      </c>
      <c r="D86" s="19">
        <f>0.7*0.25</f>
        <v>0.17499999999999999</v>
      </c>
      <c r="E86" s="19">
        <f>0.7*0.1</f>
        <v>6.9999999999999993E-2</v>
      </c>
      <c r="F86" s="19">
        <v>7.0000000000000007E-2</v>
      </c>
      <c r="G86" s="19">
        <f>0.7*0.35</f>
        <v>0.24499999999999997</v>
      </c>
      <c r="H86" s="19">
        <v>0.2</v>
      </c>
      <c r="I86" s="19">
        <v>0.1</v>
      </c>
      <c r="J86" s="40">
        <f>SUM(C86:I86)</f>
        <v>0.99999999999999989</v>
      </c>
    </row>
    <row r="88" spans="2:12" ht="15" customHeight="1" x14ac:dyDescent="0.2">
      <c r="B88" s="167" t="s">
        <v>13</v>
      </c>
      <c r="C88" s="186"/>
      <c r="D88" s="186"/>
      <c r="E88" s="186"/>
      <c r="F88" s="186"/>
      <c r="G88" s="186"/>
      <c r="H88" s="186"/>
      <c r="I88" s="186"/>
      <c r="J88" s="189"/>
      <c r="K88" s="20"/>
      <c r="L88" s="21"/>
    </row>
    <row r="89" spans="2:12" ht="27.75" customHeight="1" x14ac:dyDescent="0.2">
      <c r="B89" s="180" t="s">
        <v>52</v>
      </c>
      <c r="C89" s="173" t="s">
        <v>58</v>
      </c>
      <c r="D89" s="173"/>
      <c r="E89" s="173"/>
      <c r="F89" s="173" t="s">
        <v>59</v>
      </c>
      <c r="G89" s="173"/>
      <c r="H89" s="173"/>
      <c r="I89" s="180" t="s">
        <v>14</v>
      </c>
      <c r="J89" s="187" t="s">
        <v>34</v>
      </c>
      <c r="K89" s="20"/>
      <c r="L89" s="21"/>
    </row>
    <row r="90" spans="2:12" ht="15" customHeight="1" x14ac:dyDescent="0.2">
      <c r="B90" s="181"/>
      <c r="C90" s="69" t="str">
        <f>C4</f>
        <v>ИИ</v>
      </c>
      <c r="D90" s="149" t="str">
        <f t="shared" ref="D90:H90" si="35">D4</f>
        <v>Оптика</v>
      </c>
      <c r="E90" s="149" t="str">
        <f t="shared" si="35"/>
        <v>Ист Энергии</v>
      </c>
      <c r="F90" s="149" t="str">
        <f t="shared" si="35"/>
        <v xml:space="preserve">  Робот прз</v>
      </c>
      <c r="G90" s="149" t="str">
        <f t="shared" si="35"/>
        <v>КосмТех</v>
      </c>
      <c r="H90" s="149" t="str">
        <f t="shared" si="35"/>
        <v>ЭлемБаза</v>
      </c>
      <c r="I90" s="181"/>
      <c r="J90" s="188"/>
      <c r="K90" s="20"/>
      <c r="L90" s="21"/>
    </row>
    <row r="91" spans="2:12" x14ac:dyDescent="0.2">
      <c r="B91" s="22" t="str">
        <f>B5</f>
        <v>Астероидная опасность</v>
      </c>
      <c r="C91" s="36">
        <f>C51*C24</f>
        <v>5.2256253202083553E-16</v>
      </c>
      <c r="D91" s="36">
        <f t="shared" ref="D91:I91" si="36">D51*D24</f>
        <v>1.421524522130827</v>
      </c>
      <c r="E91" s="36">
        <f t="shared" si="36"/>
        <v>1.4215345817694118</v>
      </c>
      <c r="F91" s="36">
        <f t="shared" si="36"/>
        <v>5.2256253202083553E-16</v>
      </c>
      <c r="G91" s="36">
        <f t="shared" si="36"/>
        <v>2.2716476366925824</v>
      </c>
      <c r="H91" s="36">
        <f t="shared" si="36"/>
        <v>1.9861367010177278</v>
      </c>
      <c r="I91" s="36">
        <f t="shared" si="36"/>
        <v>2.5110649456826381E-16</v>
      </c>
      <c r="J91" s="45">
        <f>(SUM(C91:I91)*(1-J79))</f>
        <v>2.3148749619650397</v>
      </c>
      <c r="K91" s="40"/>
      <c r="L91" s="23"/>
    </row>
    <row r="92" spans="2:12" x14ac:dyDescent="0.2">
      <c r="B92" s="22" t="str">
        <f t="shared" ref="B92:B95" si="37">B6</f>
        <v>5G из космоса</v>
      </c>
      <c r="C92" s="36">
        <f t="shared" ref="C92:I92" si="38">C52*C25</f>
        <v>1.4606231532855627</v>
      </c>
      <c r="D92" s="36">
        <f t="shared" si="38"/>
        <v>5.2256253202083553E-16</v>
      </c>
      <c r="E92" s="36">
        <f t="shared" si="38"/>
        <v>1.9107602832970481</v>
      </c>
      <c r="F92" s="36">
        <f t="shared" si="38"/>
        <v>1.6519776364739223</v>
      </c>
      <c r="G92" s="36">
        <f t="shared" si="38"/>
        <v>2.1611229813950339</v>
      </c>
      <c r="H92" s="36">
        <f t="shared" si="38"/>
        <v>2.0206631839221294</v>
      </c>
      <c r="I92" s="36">
        <f t="shared" si="38"/>
        <v>2.5110649456826381E-16</v>
      </c>
      <c r="J92" s="45">
        <f t="shared" ref="J92:J95" si="39">(SUM(C92:I92)*(1-J80))</f>
        <v>3.967418459739064</v>
      </c>
      <c r="K92" s="40"/>
      <c r="L92" s="24"/>
    </row>
    <row r="93" spans="2:12" x14ac:dyDescent="0.2">
      <c r="B93" s="22" t="str">
        <f t="shared" si="37"/>
        <v>Навигация 2.0</v>
      </c>
      <c r="C93" s="36">
        <f t="shared" ref="C93:G93" si="40">C53*C26</f>
        <v>1.8744930957265442</v>
      </c>
      <c r="D93" s="36">
        <f t="shared" si="40"/>
        <v>5.2256253202083553E-16</v>
      </c>
      <c r="E93" s="36">
        <f t="shared" si="40"/>
        <v>1.0622788418521958</v>
      </c>
      <c r="F93" s="36">
        <f t="shared" si="40"/>
        <v>1.9486827747862081</v>
      </c>
      <c r="G93" s="36">
        <f t="shared" si="40"/>
        <v>1.9486986471117078</v>
      </c>
      <c r="H93" s="36">
        <f>H53*H26</f>
        <v>2.0840587812924567</v>
      </c>
      <c r="I93" s="36">
        <f>I53*I26</f>
        <v>1.5984926239228043</v>
      </c>
      <c r="J93" s="45">
        <f t="shared" si="39"/>
        <v>4.8271674869935906</v>
      </c>
      <c r="K93" s="40"/>
      <c r="L93" s="24"/>
    </row>
    <row r="94" spans="2:12" x14ac:dyDescent="0.2">
      <c r="B94" s="22" t="str">
        <f t="shared" si="37"/>
        <v>Энергетика транспорт</v>
      </c>
      <c r="C94" s="36">
        <f t="shared" ref="C94:H94" si="41">C54*C27</f>
        <v>5.2256253202083553E-16</v>
      </c>
      <c r="D94" s="36">
        <f t="shared" si="41"/>
        <v>5.2256253202083553E-16</v>
      </c>
      <c r="E94" s="36">
        <f t="shared" si="41"/>
        <v>2.2022208880064493</v>
      </c>
      <c r="F94" s="36">
        <f t="shared" si="41"/>
        <v>5.2256253202083553E-16</v>
      </c>
      <c r="G94" s="36">
        <f t="shared" si="41"/>
        <v>5.2256253202083553E-16</v>
      </c>
      <c r="H94" s="36">
        <f t="shared" si="41"/>
        <v>1.7227900698577447</v>
      </c>
      <c r="I94" s="36">
        <f>I54*I27</f>
        <v>1.4132335897123798</v>
      </c>
      <c r="J94" s="45">
        <f>(SUM(C94:I94)*(1-J82))</f>
        <v>2.6744605183358643</v>
      </c>
      <c r="K94" s="40"/>
    </row>
    <row r="95" spans="2:12" x14ac:dyDescent="0.2">
      <c r="B95" s="22" t="str">
        <f t="shared" si="37"/>
        <v>ОптоКванты</v>
      </c>
      <c r="C95" s="36">
        <f>C55*C28</f>
        <v>1.8433088754792839</v>
      </c>
      <c r="D95" s="36">
        <f t="shared" ref="D95:I95" si="42">D55*D28</f>
        <v>2.2547994365210249</v>
      </c>
      <c r="E95" s="36">
        <f t="shared" si="42"/>
        <v>5.2256253202083553E-16</v>
      </c>
      <c r="F95" s="36">
        <f t="shared" si="42"/>
        <v>5.2256253202083553E-16</v>
      </c>
      <c r="G95" s="36">
        <f t="shared" si="42"/>
        <v>5.2256253202083553E-16</v>
      </c>
      <c r="H95" s="36">
        <f t="shared" si="42"/>
        <v>2.0136132791602694</v>
      </c>
      <c r="I95" s="36">
        <f t="shared" si="42"/>
        <v>0.95803685173656672</v>
      </c>
      <c r="J95" s="45">
        <f t="shared" si="39"/>
        <v>4.5812034709973508</v>
      </c>
      <c r="K95" s="40"/>
    </row>
    <row r="96" spans="2:12" x14ac:dyDescent="0.2">
      <c r="B96" s="87" t="s">
        <v>62</v>
      </c>
      <c r="C96" s="88">
        <f>SUM(C91:C95)</f>
        <v>5.1784251244913913</v>
      </c>
      <c r="D96" s="88">
        <f t="shared" ref="D96:I96" si="43">SUM(D91:D95)</f>
        <v>3.676323958651853</v>
      </c>
      <c r="E96" s="88">
        <f t="shared" si="43"/>
        <v>6.5967945949251057</v>
      </c>
      <c r="F96" s="88">
        <f t="shared" si="43"/>
        <v>3.6006604112601317</v>
      </c>
      <c r="G96" s="88">
        <f t="shared" si="43"/>
        <v>6.3814692651993257</v>
      </c>
      <c r="H96" s="88">
        <f t="shared" si="43"/>
        <v>9.8272620152503283</v>
      </c>
      <c r="I96" s="88">
        <f t="shared" si="43"/>
        <v>3.9697630653717511</v>
      </c>
      <c r="J96" s="86">
        <f>SUM(J91:J95)</f>
        <v>18.36512489803091</v>
      </c>
    </row>
    <row r="97" spans="2:10" x14ac:dyDescent="0.2">
      <c r="B97" s="22" t="s">
        <v>63</v>
      </c>
      <c r="C97" s="88">
        <f>C96/$J$97</f>
        <v>0.13199931000595266</v>
      </c>
      <c r="D97" s="88">
        <f t="shared" ref="D97:I97" si="44">D96/$J$97</f>
        <v>9.3710387663094571E-2</v>
      </c>
      <c r="E97" s="88">
        <f t="shared" si="44"/>
        <v>0.16815389116331705</v>
      </c>
      <c r="F97" s="88">
        <f t="shared" si="44"/>
        <v>9.1781705523601265E-2</v>
      </c>
      <c r="G97" s="88">
        <f t="shared" si="44"/>
        <v>0.16266519638308716</v>
      </c>
      <c r="H97" s="88">
        <f t="shared" si="44"/>
        <v>0.25049928773241792</v>
      </c>
      <c r="I97" s="88">
        <f t="shared" si="44"/>
        <v>0.10119022152852947</v>
      </c>
      <c r="J97" s="72">
        <f>SUM(C96:I96)</f>
        <v>39.230698435149883</v>
      </c>
    </row>
    <row r="98" spans="2:10" x14ac:dyDescent="0.2">
      <c r="B98" s="26"/>
      <c r="C98" s="89"/>
      <c r="D98" s="89"/>
      <c r="E98" s="89"/>
      <c r="F98" s="89"/>
      <c r="G98" s="89"/>
      <c r="H98" s="89"/>
      <c r="I98" s="89"/>
      <c r="J98" s="90"/>
    </row>
    <row r="99" spans="2:10" x14ac:dyDescent="0.2">
      <c r="B99" s="79" t="s">
        <v>25</v>
      </c>
      <c r="C99" s="78"/>
      <c r="D99" s="78"/>
      <c r="E99" s="68"/>
      <c r="F99" s="68">
        <f>C91/(C96+D96+E96)</f>
        <v>3.3819438556327008E-17</v>
      </c>
      <c r="G99" s="68"/>
      <c r="H99" s="68"/>
      <c r="I99" s="68"/>
      <c r="J99" s="68"/>
    </row>
    <row r="100" spans="2:10" x14ac:dyDescent="0.2">
      <c r="B100" s="3" t="str">
        <f>B16</f>
        <v>П1</v>
      </c>
      <c r="C100" s="184">
        <f>Input!C25:D25</f>
        <v>66000</v>
      </c>
      <c r="D100" s="185"/>
      <c r="E100" s="16"/>
      <c r="F100" s="16"/>
      <c r="G100" s="16"/>
      <c r="H100" s="16"/>
      <c r="I100" s="16"/>
      <c r="J100" s="16"/>
    </row>
    <row r="101" spans="2:10" x14ac:dyDescent="0.2">
      <c r="B101" s="3" t="str">
        <f t="shared" ref="B101:B102" si="45">B17</f>
        <v>П2</v>
      </c>
      <c r="C101" s="184">
        <f>Input!C26:D26</f>
        <v>54000</v>
      </c>
      <c r="D101" s="185"/>
      <c r="E101"/>
      <c r="F101"/>
      <c r="G101"/>
      <c r="H101"/>
      <c r="I101"/>
      <c r="J101"/>
    </row>
    <row r="102" spans="2:10" x14ac:dyDescent="0.2">
      <c r="B102" s="3" t="str">
        <f t="shared" si="45"/>
        <v>П3</v>
      </c>
      <c r="C102" s="184">
        <f>Input!C27:D27</f>
        <v>61000</v>
      </c>
      <c r="D102" s="185"/>
      <c r="E102"/>
      <c r="F102"/>
      <c r="G102"/>
      <c r="H102"/>
      <c r="I102"/>
      <c r="J102"/>
    </row>
    <row r="103" spans="2:10" x14ac:dyDescent="0.2">
      <c r="B103" s="3" t="s">
        <v>9</v>
      </c>
      <c r="C103" s="184">
        <f>SUM(C100:D102)</f>
        <v>181000</v>
      </c>
      <c r="D103" s="185"/>
      <c r="E103"/>
      <c r="F103"/>
      <c r="G103"/>
      <c r="H103"/>
      <c r="I103"/>
      <c r="J103"/>
    </row>
    <row r="104" spans="2:10" x14ac:dyDescent="0.2">
      <c r="B104" s="16"/>
      <c r="C104"/>
      <c r="D104"/>
      <c r="E104"/>
      <c r="F104"/>
      <c r="G104"/>
      <c r="H104"/>
      <c r="I104"/>
      <c r="J104"/>
    </row>
    <row r="105" spans="2:10" x14ac:dyDescent="0.2">
      <c r="B105" s="167" t="s">
        <v>42</v>
      </c>
      <c r="C105" s="168"/>
      <c r="D105" s="168"/>
      <c r="E105" s="168"/>
      <c r="F105" s="168"/>
      <c r="G105" s="168"/>
      <c r="H105" s="168"/>
      <c r="I105" s="168"/>
      <c r="J105" s="168"/>
    </row>
    <row r="106" spans="2:10" ht="45.75" customHeight="1" x14ac:dyDescent="0.2">
      <c r="B106" s="165"/>
      <c r="C106" s="35" t="s">
        <v>30</v>
      </c>
      <c r="D106" s="35" t="s">
        <v>40</v>
      </c>
      <c r="E106" s="25" t="s">
        <v>39</v>
      </c>
      <c r="F106" s="26"/>
      <c r="G106" s="35" t="s">
        <v>35</v>
      </c>
      <c r="H106" s="35" t="s">
        <v>35</v>
      </c>
      <c r="I106" s="35" t="s">
        <v>35</v>
      </c>
      <c r="J106" s="180" t="s">
        <v>36</v>
      </c>
    </row>
    <row r="107" spans="2:10" x14ac:dyDescent="0.2">
      <c r="B107" s="166"/>
      <c r="C107" s="49" t="str">
        <f>B16</f>
        <v>П1</v>
      </c>
      <c r="D107" s="49" t="str">
        <f>B17</f>
        <v>П2</v>
      </c>
      <c r="E107" s="50" t="str">
        <f>B18</f>
        <v>П3</v>
      </c>
      <c r="F107" s="26"/>
      <c r="G107" s="49" t="str">
        <f>B16</f>
        <v>П1</v>
      </c>
      <c r="H107" s="49" t="str">
        <f>B17</f>
        <v>П2</v>
      </c>
      <c r="I107" s="49" t="str">
        <f>B18</f>
        <v>П3</v>
      </c>
      <c r="J107" s="191"/>
    </row>
    <row r="108" spans="2:10" ht="32" x14ac:dyDescent="0.2">
      <c r="B108" s="27" t="str">
        <f>B5</f>
        <v>Астероидная опасность</v>
      </c>
      <c r="C108" s="56">
        <f>Input!C32:C32</f>
        <v>50</v>
      </c>
      <c r="D108" s="56">
        <f>Input!D32:D32</f>
        <v>3</v>
      </c>
      <c r="E108" s="11">
        <f>Input!E32:E32</f>
        <v>1</v>
      </c>
      <c r="F108" s="47"/>
      <c r="G108" s="57">
        <f>C108/100*$C$100</f>
        <v>33000</v>
      </c>
      <c r="H108" s="57">
        <f>D108/100*$C$101</f>
        <v>1620</v>
      </c>
      <c r="I108" s="57">
        <f>E108/100*$C$102</f>
        <v>610</v>
      </c>
      <c r="J108" s="52">
        <f t="shared" ref="J108:J113" si="46">SUM(G108:I108)</f>
        <v>35230</v>
      </c>
    </row>
    <row r="109" spans="2:10" ht="16" x14ac:dyDescent="0.2">
      <c r="B109" s="27" t="str">
        <f t="shared" ref="B109:B112" si="47">B6</f>
        <v>5G из космоса</v>
      </c>
      <c r="C109" s="56">
        <f>Input!C33:C33</f>
        <v>37</v>
      </c>
      <c r="D109" s="56">
        <f>Input!D33:D33</f>
        <v>30</v>
      </c>
      <c r="E109" s="11">
        <f>Input!E33:E33</f>
        <v>1</v>
      </c>
      <c r="F109" s="47"/>
      <c r="G109" s="57">
        <f t="shared" ref="G109:G112" si="48">C109/100*$C$100</f>
        <v>24420</v>
      </c>
      <c r="H109" s="57">
        <f>D109/100*$C$101</f>
        <v>16200</v>
      </c>
      <c r="I109" s="57">
        <f>E109/100*$C$102</f>
        <v>610</v>
      </c>
      <c r="J109" s="52">
        <f t="shared" si="46"/>
        <v>41230</v>
      </c>
    </row>
    <row r="110" spans="2:10" ht="16" x14ac:dyDescent="0.2">
      <c r="B110" s="27" t="str">
        <f t="shared" si="47"/>
        <v>Навигация 2.0</v>
      </c>
      <c r="C110" s="56">
        <f>Input!C34:C34</f>
        <v>7</v>
      </c>
      <c r="D110" s="56">
        <f>Input!D34:D34</f>
        <v>27</v>
      </c>
      <c r="E110" s="11">
        <f>Input!E34:E34</f>
        <v>25</v>
      </c>
      <c r="F110" s="47"/>
      <c r="G110" s="57">
        <f t="shared" si="48"/>
        <v>4620</v>
      </c>
      <c r="H110" s="57">
        <f>D110/100*$C$101</f>
        <v>14580.000000000002</v>
      </c>
      <c r="I110" s="57">
        <f>E110/100*$C$102</f>
        <v>15250</v>
      </c>
      <c r="J110" s="52">
        <f t="shared" si="46"/>
        <v>34450</v>
      </c>
    </row>
    <row r="111" spans="2:10" ht="32" x14ac:dyDescent="0.2">
      <c r="B111" s="27" t="str">
        <f t="shared" si="47"/>
        <v>Энергетика транспорт</v>
      </c>
      <c r="C111" s="56">
        <f>Input!C35:C35</f>
        <v>3</v>
      </c>
      <c r="D111" s="56">
        <f>Input!D35:D35</f>
        <v>20</v>
      </c>
      <c r="E111" s="11">
        <f>Input!E35:E35</f>
        <v>35</v>
      </c>
      <c r="F111" s="47"/>
      <c r="G111" s="57">
        <f t="shared" si="48"/>
        <v>1980</v>
      </c>
      <c r="H111" s="57">
        <f>D111/100*$C$101</f>
        <v>10800</v>
      </c>
      <c r="I111" s="57">
        <f>E111/100*$C$102</f>
        <v>21350</v>
      </c>
      <c r="J111" s="52">
        <f t="shared" si="46"/>
        <v>34130</v>
      </c>
    </row>
    <row r="112" spans="2:10" ht="16" x14ac:dyDescent="0.2">
      <c r="B112" s="27" t="str">
        <f t="shared" si="47"/>
        <v>ОптоКванты</v>
      </c>
      <c r="C112" s="56">
        <f>Input!C36:C36</f>
        <v>3</v>
      </c>
      <c r="D112" s="56">
        <f>Input!D36:D36</f>
        <v>20</v>
      </c>
      <c r="E112" s="11">
        <f>Input!E36:E36</f>
        <v>38</v>
      </c>
      <c r="F112" s="47"/>
      <c r="G112" s="57">
        <f t="shared" si="48"/>
        <v>1980</v>
      </c>
      <c r="H112" s="57">
        <f>D112/100*$C$101</f>
        <v>10800</v>
      </c>
      <c r="I112" s="57">
        <f>E112/100*$C$102</f>
        <v>23180</v>
      </c>
      <c r="J112" s="52">
        <f t="shared" si="46"/>
        <v>35960</v>
      </c>
    </row>
    <row r="113" spans="2:12" x14ac:dyDescent="0.2">
      <c r="B113" s="28" t="s">
        <v>27</v>
      </c>
      <c r="C113" s="33">
        <f>C110+C111+C112+C108+C109</f>
        <v>100</v>
      </c>
      <c r="D113" s="33">
        <f t="shared" ref="D113" si="49">D110+D111+D112+D108+D109</f>
        <v>100</v>
      </c>
      <c r="E113" s="12">
        <f t="shared" ref="E113" si="50">E110+E111+E112+E108+E109</f>
        <v>100</v>
      </c>
      <c r="F113" s="41"/>
      <c r="G113" s="51">
        <f>G110+G111+G112+G108+G109</f>
        <v>66000</v>
      </c>
      <c r="H113" s="51">
        <f t="shared" ref="H113" si="51">H110+H111+H112+H108+H109</f>
        <v>54000</v>
      </c>
      <c r="I113" s="51">
        <f t="shared" ref="I113" si="52">I110+I111+I112+I108+I109</f>
        <v>61000</v>
      </c>
      <c r="J113" s="63">
        <f t="shared" si="46"/>
        <v>181000</v>
      </c>
    </row>
    <row r="114" spans="2:12" x14ac:dyDescent="0.2">
      <c r="B114" s="26"/>
      <c r="C114" s="24"/>
      <c r="D114" s="24"/>
      <c r="E114" s="24"/>
      <c r="F114" s="24"/>
      <c r="G114" s="24"/>
      <c r="H114" s="24"/>
      <c r="I114" s="24"/>
      <c r="J114" s="24"/>
    </row>
    <row r="115" spans="2:12" x14ac:dyDescent="0.2">
      <c r="B115" s="167" t="s">
        <v>41</v>
      </c>
      <c r="C115" s="183"/>
      <c r="D115" s="183"/>
      <c r="E115" s="183"/>
      <c r="F115" s="183"/>
      <c r="G115" s="183"/>
      <c r="H115" s="183"/>
      <c r="I115" s="183"/>
      <c r="J115" s="183"/>
      <c r="K115" s="183"/>
      <c r="L115" s="85"/>
    </row>
    <row r="116" spans="2:12" ht="32.25" customHeight="1" x14ac:dyDescent="0.2">
      <c r="B116" s="180" t="s">
        <v>52</v>
      </c>
      <c r="C116" s="173" t="s">
        <v>58</v>
      </c>
      <c r="D116" s="173"/>
      <c r="E116" s="173"/>
      <c r="F116" s="173" t="s">
        <v>59</v>
      </c>
      <c r="G116" s="173"/>
      <c r="H116" s="173"/>
      <c r="I116" s="180" t="s">
        <v>14</v>
      </c>
      <c r="J116" s="180" t="s">
        <v>57</v>
      </c>
      <c r="K116" s="187" t="s">
        <v>9</v>
      </c>
      <c r="L116" s="34"/>
    </row>
    <row r="117" spans="2:12" x14ac:dyDescent="0.2">
      <c r="B117" s="181"/>
      <c r="C117" s="69" t="str">
        <f>C4</f>
        <v>ИИ</v>
      </c>
      <c r="D117" s="149" t="str">
        <f t="shared" ref="D117:H117" si="53">D4</f>
        <v>Оптика</v>
      </c>
      <c r="E117" s="149" t="str">
        <f t="shared" si="53"/>
        <v>Ист Энергии</v>
      </c>
      <c r="F117" s="149" t="str">
        <f t="shared" si="53"/>
        <v xml:space="preserve">  Робот прз</v>
      </c>
      <c r="G117" s="149" t="str">
        <f t="shared" si="53"/>
        <v>КосмТех</v>
      </c>
      <c r="H117" s="149" t="str">
        <f t="shared" si="53"/>
        <v>ЭлемБаза</v>
      </c>
      <c r="I117" s="181"/>
      <c r="J117" s="166"/>
      <c r="K117" s="192"/>
    </row>
    <row r="118" spans="2:12" ht="32" x14ac:dyDescent="0.2">
      <c r="B118" s="27" t="str">
        <f>B5</f>
        <v>Астероидная опасность</v>
      </c>
      <c r="C118" s="53">
        <f>$J$108*C91*C5/100</f>
        <v>1.8409878003094035E-13</v>
      </c>
      <c r="D118" s="53">
        <f t="shared" ref="D118:I118" si="54">$J$108*D91*D5/100</f>
        <v>3633.9729510518459</v>
      </c>
      <c r="E118" s="53">
        <f t="shared" si="54"/>
        <v>3634.0634942716379</v>
      </c>
      <c r="F118" s="53">
        <f t="shared" si="54"/>
        <v>1.8409878003094035E-13</v>
      </c>
      <c r="G118" s="53">
        <f t="shared" si="54"/>
        <v>8734.1754223621574</v>
      </c>
      <c r="H118" s="53">
        <f t="shared" si="54"/>
        <v>7637.0004000476956</v>
      </c>
      <c r="I118" s="53">
        <f t="shared" si="54"/>
        <v>8.8464818036399342E-14</v>
      </c>
      <c r="J118" s="53">
        <f>J108-SUM(C118:I118)</f>
        <v>11590.787732266665</v>
      </c>
      <c r="K118" s="53">
        <f>SUM(C118:J118)</f>
        <v>35230</v>
      </c>
    </row>
    <row r="119" spans="2:12" ht="16" x14ac:dyDescent="0.2">
      <c r="B119" s="27" t="str">
        <f t="shared" ref="B119:B122" si="55">B6</f>
        <v>5G из космоса</v>
      </c>
      <c r="C119" s="53">
        <f t="shared" ref="C119:I119" si="56">$J$109*C92*C6/100</f>
        <v>4690.675482305448</v>
      </c>
      <c r="D119" s="53">
        <f t="shared" si="56"/>
        <v>2.1545253195219051E-13</v>
      </c>
      <c r="E119" s="53">
        <f t="shared" si="56"/>
        <v>6135.7619098759315</v>
      </c>
      <c r="F119" s="53">
        <f t="shared" si="56"/>
        <v>7955.2254208463173</v>
      </c>
      <c r="G119" s="53">
        <f t="shared" si="56"/>
        <v>10406.508517034825</v>
      </c>
      <c r="H119" s="53">
        <f t="shared" si="56"/>
        <v>9728.756534705919</v>
      </c>
      <c r="I119" s="53">
        <f t="shared" si="56"/>
        <v>1.0353120771049518E-13</v>
      </c>
      <c r="J119" s="53">
        <f t="shared" ref="J119:J123" si="57">J109-SUM(C119:I119)</f>
        <v>2313.0721352315595</v>
      </c>
      <c r="K119" s="53">
        <f t="shared" ref="K119:K123" si="58">SUM(C119:J119)</f>
        <v>41230</v>
      </c>
      <c r="L119" s="70"/>
    </row>
    <row r="120" spans="2:12" ht="16" x14ac:dyDescent="0.2">
      <c r="B120" s="27" t="str">
        <f t="shared" si="55"/>
        <v>Навигация 2.0</v>
      </c>
      <c r="C120" s="53">
        <f t="shared" ref="C120:I120" si="59">$J$110*C93*C7/100</f>
        <v>5780.2107155660478</v>
      </c>
      <c r="D120" s="53">
        <f t="shared" si="59"/>
        <v>1.8002279228117785E-13</v>
      </c>
      <c r="E120" s="53">
        <f t="shared" si="59"/>
        <v>3275.7243793178395</v>
      </c>
      <c r="F120" s="53">
        <f t="shared" si="59"/>
        <v>8962.6510078972224</v>
      </c>
      <c r="G120" s="53">
        <f t="shared" si="59"/>
        <v>8963.0626057602367</v>
      </c>
      <c r="H120" s="53">
        <f t="shared" si="59"/>
        <v>9585.1462749634757</v>
      </c>
      <c r="I120" s="53">
        <f t="shared" si="59"/>
        <v>14862.611333072649</v>
      </c>
      <c r="J120" s="53">
        <f t="shared" si="57"/>
        <v>-16979.406316577471</v>
      </c>
      <c r="K120" s="53">
        <f>SUM(C120:J120)</f>
        <v>34450</v>
      </c>
    </row>
    <row r="121" spans="2:12" ht="32" x14ac:dyDescent="0.2">
      <c r="B121" s="27" t="str">
        <f t="shared" si="55"/>
        <v>Энергетика транспорт</v>
      </c>
      <c r="C121" s="53">
        <f t="shared" ref="C121:I121" si="60">$J$111*C94*C8/100</f>
        <v>1.7835059217871116E-13</v>
      </c>
      <c r="D121" s="53">
        <f t="shared" si="60"/>
        <v>1.7835059217871116E-13</v>
      </c>
      <c r="E121" s="53">
        <f t="shared" si="60"/>
        <v>7107.8466161768056</v>
      </c>
      <c r="F121" s="53">
        <f>$J$111*F94*F8/100</f>
        <v>1.7835059217871116E-13</v>
      </c>
      <c r="G121" s="53">
        <f t="shared" si="60"/>
        <v>1.7835059217871116E-13</v>
      </c>
      <c r="H121" s="53">
        <f t="shared" si="60"/>
        <v>8277.1865181524336</v>
      </c>
      <c r="I121" s="53">
        <f t="shared" si="60"/>
        <v>13696.979362006996</v>
      </c>
      <c r="J121" s="53">
        <f t="shared" si="57"/>
        <v>5047.9875036637677</v>
      </c>
      <c r="K121" s="53">
        <f t="shared" si="58"/>
        <v>34130</v>
      </c>
    </row>
    <row r="122" spans="2:12" ht="16" x14ac:dyDescent="0.2">
      <c r="B122" s="27" t="str">
        <f t="shared" si="55"/>
        <v>ОптоКванты</v>
      </c>
      <c r="C122" s="53">
        <f t="shared" ref="C122:I122" si="61">$J$112*C95*C9/100</f>
        <v>7035.6087432791774</v>
      </c>
      <c r="D122" s="53">
        <f t="shared" si="61"/>
        <v>8606.1357237588727</v>
      </c>
      <c r="E122" s="53">
        <f t="shared" si="61"/>
        <v>1.8791348651469246E-13</v>
      </c>
      <c r="F122" s="53">
        <f t="shared" si="61"/>
        <v>1.8791348651469246E-13</v>
      </c>
      <c r="G122" s="53">
        <f t="shared" si="61"/>
        <v>1.8791348651469246E-13</v>
      </c>
      <c r="H122" s="53">
        <f t="shared" si="61"/>
        <v>11400.286730013429</v>
      </c>
      <c r="I122" s="53">
        <f t="shared" si="61"/>
        <v>10890.409290947704</v>
      </c>
      <c r="J122" s="53">
        <f t="shared" si="57"/>
        <v>-1972.4404879991853</v>
      </c>
      <c r="K122" s="53">
        <f t="shared" si="58"/>
        <v>35960</v>
      </c>
    </row>
    <row r="123" spans="2:12" x14ac:dyDescent="0.2">
      <c r="B123" s="67" t="s">
        <v>9</v>
      </c>
      <c r="C123" s="65">
        <f>SUM(C118:C122)</f>
        <v>17506.494941150675</v>
      </c>
      <c r="D123" s="65">
        <f>SUM(D118:D122)</f>
        <v>12240.108674810719</v>
      </c>
      <c r="E123" s="65">
        <f t="shared" ref="E123:F123" si="62">SUM(E118:E122)</f>
        <v>20153.396399642214</v>
      </c>
      <c r="F123" s="65">
        <f t="shared" si="62"/>
        <v>16917.876428743541</v>
      </c>
      <c r="G123" s="65">
        <f t="shared" ref="G123" si="63">SUM(G118:G122)</f>
        <v>28103.746545157221</v>
      </c>
      <c r="H123" s="65">
        <f t="shared" ref="H123" si="64">SUM(H118:H122)</f>
        <v>46628.376457882958</v>
      </c>
      <c r="I123" s="65">
        <f t="shared" ref="I123" si="65">SUM(I118:I122)</f>
        <v>39449.999986027353</v>
      </c>
      <c r="J123" s="65">
        <f t="shared" si="57"/>
        <v>5.6658533867448568E-4</v>
      </c>
      <c r="K123" s="65">
        <f t="shared" si="58"/>
        <v>181000</v>
      </c>
    </row>
    <row r="124" spans="2:12" ht="27" x14ac:dyDescent="0.2">
      <c r="B124" s="104" t="s">
        <v>57</v>
      </c>
      <c r="C124" s="74">
        <f>C135-(C123+D123+E123)</f>
        <v>-1.5603611245751381E-5</v>
      </c>
      <c r="D124" s="73"/>
      <c r="E124" s="73"/>
      <c r="F124" s="74">
        <f>F135-(F123+G123+H123)</f>
        <v>5.6821628822945058E-4</v>
      </c>
      <c r="G124" s="73"/>
      <c r="H124" s="73"/>
      <c r="I124" s="74">
        <f>I135-I123</f>
        <v>1.3972647138871253E-5</v>
      </c>
      <c r="J124" s="73"/>
    </row>
    <row r="125" spans="2:12" x14ac:dyDescent="0.2">
      <c r="B125" s="67" t="s">
        <v>27</v>
      </c>
      <c r="C125" s="74">
        <f>C124+C123+D123+E123</f>
        <v>49900</v>
      </c>
      <c r="D125" s="73"/>
      <c r="E125" s="73"/>
      <c r="F125" s="74">
        <f>F124+F123+G123+H123</f>
        <v>91650</v>
      </c>
      <c r="G125" s="73"/>
      <c r="H125" s="73"/>
      <c r="I125" s="74">
        <f>I124+I123</f>
        <v>39450</v>
      </c>
      <c r="J125" s="73"/>
    </row>
    <row r="127" spans="2:12" x14ac:dyDescent="0.2">
      <c r="B127" s="167" t="s">
        <v>45</v>
      </c>
      <c r="C127" s="186"/>
      <c r="D127" s="186"/>
      <c r="E127" s="186"/>
      <c r="F127" s="186"/>
      <c r="G127" s="186"/>
      <c r="H127" s="186"/>
      <c r="I127" s="186"/>
      <c r="J127" s="189"/>
    </row>
    <row r="128" spans="2:12" ht="30.75" customHeight="1" x14ac:dyDescent="0.2">
      <c r="B128" s="180" t="s">
        <v>51</v>
      </c>
      <c r="C128" s="173" t="s">
        <v>58</v>
      </c>
      <c r="D128" s="173"/>
      <c r="E128" s="173"/>
      <c r="F128" s="173" t="s">
        <v>59</v>
      </c>
      <c r="G128" s="173"/>
      <c r="H128" s="173"/>
      <c r="I128" s="180" t="s">
        <v>14</v>
      </c>
      <c r="J128" s="180" t="s">
        <v>57</v>
      </c>
      <c r="K128" s="180" t="s">
        <v>9</v>
      </c>
      <c r="L128" s="180" t="s">
        <v>65</v>
      </c>
    </row>
    <row r="129" spans="2:17" x14ac:dyDescent="0.2">
      <c r="B129" s="181"/>
      <c r="C129" s="69" t="str">
        <f>C4</f>
        <v>ИИ</v>
      </c>
      <c r="D129" s="149" t="str">
        <f t="shared" ref="D129:H129" si="66">D4</f>
        <v>Оптика</v>
      </c>
      <c r="E129" s="149" t="str">
        <f t="shared" si="66"/>
        <v>Ист Энергии</v>
      </c>
      <c r="F129" s="149" t="str">
        <f t="shared" si="66"/>
        <v xml:space="preserve">  Робот прз</v>
      </c>
      <c r="G129" s="149" t="str">
        <f t="shared" si="66"/>
        <v>КосмТех</v>
      </c>
      <c r="H129" s="149" t="str">
        <f t="shared" si="66"/>
        <v>ЭлемБаза</v>
      </c>
      <c r="I129" s="181"/>
      <c r="J129" s="166"/>
      <c r="K129" s="181"/>
      <c r="L129" s="181"/>
    </row>
    <row r="130" spans="2:17" ht="16" x14ac:dyDescent="0.2">
      <c r="B130" s="27" t="str">
        <f>B16</f>
        <v>П1</v>
      </c>
      <c r="C130" s="53">
        <f>C33</f>
        <v>16541.023708498466</v>
      </c>
      <c r="D130" s="53">
        <f t="shared" ref="C130:I132" si="67">D33</f>
        <v>3.092442619589336E-7</v>
      </c>
      <c r="E130" s="53">
        <f t="shared" si="67"/>
        <v>6903.7305513075407</v>
      </c>
      <c r="F130" s="53">
        <f t="shared" si="67"/>
        <v>16917.876780064595</v>
      </c>
      <c r="G130" s="53">
        <f t="shared" si="67"/>
        <v>1434.0346090328173</v>
      </c>
      <c r="H130" s="53">
        <f t="shared" si="67"/>
        <v>8254.4919652769531</v>
      </c>
      <c r="I130" s="53">
        <f t="shared" si="67"/>
        <v>673.39652117304854</v>
      </c>
      <c r="J130" s="53">
        <f>C100-SUM(C130:I130)</f>
        <v>15275.445864337344</v>
      </c>
      <c r="K130" s="53">
        <f>SUM(C130:J130)</f>
        <v>66000</v>
      </c>
      <c r="L130" s="93">
        <f>K130-J130</f>
        <v>50724.554135662656</v>
      </c>
    </row>
    <row r="131" spans="2:17" ht="16" x14ac:dyDescent="0.2">
      <c r="B131" s="27" t="str">
        <f t="shared" ref="B131:B132" si="68">B17</f>
        <v>П2</v>
      </c>
      <c r="C131" s="53">
        <f t="shared" si="67"/>
        <v>965.47089338903618</v>
      </c>
      <c r="D131" s="53">
        <f t="shared" si="67"/>
        <v>12240.108313834367</v>
      </c>
      <c r="E131" s="53">
        <f t="shared" si="67"/>
        <v>2646.0617862805802</v>
      </c>
      <c r="F131" s="53">
        <f t="shared" si="67"/>
        <v>3.4693487558473067E-7</v>
      </c>
      <c r="G131" s="53">
        <f t="shared" si="67"/>
        <v>26669.712459234779</v>
      </c>
      <c r="H131" s="53">
        <f t="shared" si="67"/>
        <v>12834.054830089042</v>
      </c>
      <c r="I131" s="53">
        <f t="shared" si="67"/>
        <v>550.13657447756339</v>
      </c>
      <c r="J131" s="53">
        <f>C101-SUM(C131:I131)</f>
        <v>-1905.5448576523049</v>
      </c>
      <c r="K131" s="53">
        <f>SUM(C131:J131)</f>
        <v>54000</v>
      </c>
      <c r="L131" s="93">
        <f t="shared" ref="L131:L132" si="69">K131-J131</f>
        <v>55905.544857652305</v>
      </c>
    </row>
    <row r="132" spans="2:17" ht="16" x14ac:dyDescent="0.2">
      <c r="B132" s="27" t="str">
        <f t="shared" si="68"/>
        <v>П3</v>
      </c>
      <c r="C132" s="53">
        <f t="shared" si="67"/>
        <v>6.0999999756256029E-7</v>
      </c>
      <c r="D132" s="53">
        <f t="shared" si="67"/>
        <v>6.1000005047162631E-7</v>
      </c>
      <c r="E132" s="53">
        <f t="shared" si="67"/>
        <v>10603.603797288823</v>
      </c>
      <c r="F132" s="53">
        <f t="shared" si="67"/>
        <v>2.7450000000016593E-6</v>
      </c>
      <c r="G132" s="53">
        <f t="shared" si="67"/>
        <v>2.7449999999987531E-6</v>
      </c>
      <c r="H132" s="53">
        <f t="shared" si="67"/>
        <v>25539.830544838962</v>
      </c>
      <c r="I132" s="53">
        <f t="shared" si="67"/>
        <v>38226.466883911213</v>
      </c>
      <c r="J132" s="53">
        <f>C102-SUM(C132:I132)</f>
        <v>-13369.901232748991</v>
      </c>
      <c r="K132" s="53">
        <f>SUM(C132:J132)</f>
        <v>61000</v>
      </c>
      <c r="L132" s="93">
        <f t="shared" si="69"/>
        <v>74369.901232748991</v>
      </c>
    </row>
    <row r="133" spans="2:17" x14ac:dyDescent="0.2">
      <c r="B133" s="28" t="s">
        <v>9</v>
      </c>
      <c r="C133" s="65">
        <f t="shared" ref="C133:L133" si="70">SUM(C130:C132)</f>
        <v>17506.494602497503</v>
      </c>
      <c r="D133" s="65">
        <f t="shared" si="70"/>
        <v>12240.108314753612</v>
      </c>
      <c r="E133" s="65">
        <f t="shared" si="70"/>
        <v>20153.396134876944</v>
      </c>
      <c r="F133" s="65">
        <f t="shared" si="70"/>
        <v>16917.876783156531</v>
      </c>
      <c r="G133" s="65">
        <f>SUM(G130:G132)</f>
        <v>28103.747071012596</v>
      </c>
      <c r="H133" s="65">
        <f t="shared" si="70"/>
        <v>46628.377340204956</v>
      </c>
      <c r="I133" s="65">
        <f>SUM(I130:I132)</f>
        <v>39449.999979561828</v>
      </c>
      <c r="J133" s="65">
        <f t="shared" si="70"/>
        <v>-2.2606395214097574E-4</v>
      </c>
      <c r="K133" s="65">
        <f t="shared" si="70"/>
        <v>181000</v>
      </c>
      <c r="L133" s="94">
        <f t="shared" si="70"/>
        <v>181000.00022606394</v>
      </c>
    </row>
    <row r="134" spans="2:17" ht="27" x14ac:dyDescent="0.2">
      <c r="B134" s="80" t="s">
        <v>57</v>
      </c>
      <c r="C134" s="74">
        <f>M19-(C133+D133+E133)</f>
        <v>9.4787194393575191E-4</v>
      </c>
      <c r="D134" s="73"/>
      <c r="E134" s="73"/>
      <c r="F134" s="74">
        <f>N19-(F133+G133+H133)</f>
        <v>-1.1943740828428417E-3</v>
      </c>
      <c r="G134" s="73"/>
      <c r="H134" s="73"/>
      <c r="I134" s="74">
        <f>O19-I133</f>
        <v>2.0438172214198858E-5</v>
      </c>
    </row>
    <row r="135" spans="2:17" x14ac:dyDescent="0.2">
      <c r="B135" s="28" t="s">
        <v>27</v>
      </c>
      <c r="C135" s="74">
        <f>C134+C133+D133+E133</f>
        <v>49900</v>
      </c>
      <c r="D135" s="73"/>
      <c r="E135" s="73"/>
      <c r="F135" s="74">
        <f>F134+F133+G133+H133</f>
        <v>91650</v>
      </c>
      <c r="G135" s="73"/>
      <c r="H135" s="73"/>
      <c r="I135" s="74">
        <f>I134+I133</f>
        <v>39450</v>
      </c>
    </row>
    <row r="138" spans="2:17" x14ac:dyDescent="0.2">
      <c r="B138" s="201" t="s">
        <v>64</v>
      </c>
      <c r="C138" s="202"/>
      <c r="D138" s="202"/>
      <c r="E138" s="202"/>
      <c r="F138" s="202"/>
      <c r="G138" s="203"/>
    </row>
    <row r="139" spans="2:17" x14ac:dyDescent="0.2">
      <c r="B139" s="95"/>
      <c r="C139" s="96"/>
      <c r="D139" s="96"/>
      <c r="E139" s="96"/>
      <c r="F139" s="96"/>
      <c r="G139" s="97"/>
    </row>
    <row r="140" spans="2:17" x14ac:dyDescent="0.2">
      <c r="B140" s="180" t="s">
        <v>52</v>
      </c>
      <c r="C140" s="204" t="s">
        <v>67</v>
      </c>
      <c r="D140" s="205"/>
      <c r="E140" s="206"/>
      <c r="F140" s="187" t="s">
        <v>36</v>
      </c>
      <c r="G140" s="204" t="s">
        <v>70</v>
      </c>
      <c r="H140" s="209"/>
      <c r="I140" s="209"/>
      <c r="J140" s="209"/>
      <c r="K140" s="209"/>
      <c r="L140" s="208"/>
      <c r="M140" s="204" t="s">
        <v>66</v>
      </c>
      <c r="N140" s="205"/>
      <c r="O140" s="205"/>
      <c r="P140" s="187" t="s">
        <v>36</v>
      </c>
    </row>
    <row r="141" spans="2:17" x14ac:dyDescent="0.2">
      <c r="B141" s="199"/>
      <c r="C141" s="77" t="str">
        <f>B16</f>
        <v>П1</v>
      </c>
      <c r="D141" s="77" t="str">
        <f>B17</f>
        <v>П2</v>
      </c>
      <c r="E141" s="77" t="str">
        <f>B18</f>
        <v>П3</v>
      </c>
      <c r="F141" s="197"/>
      <c r="G141" s="207" t="str">
        <f>B16</f>
        <v>П1</v>
      </c>
      <c r="H141" s="208"/>
      <c r="I141" s="207" t="str">
        <f>B17</f>
        <v>П2</v>
      </c>
      <c r="J141" s="208"/>
      <c r="K141" s="207" t="str">
        <f>B18</f>
        <v>П3</v>
      </c>
      <c r="L141" s="208"/>
      <c r="M141" s="77" t="str">
        <f>B16</f>
        <v>П1</v>
      </c>
      <c r="N141" s="77" t="str">
        <f>B17</f>
        <v>П2</v>
      </c>
      <c r="O141" s="77" t="str">
        <f>B18</f>
        <v>П3</v>
      </c>
      <c r="P141" s="197"/>
    </row>
    <row r="142" spans="2:17" x14ac:dyDescent="0.2">
      <c r="B142" s="200"/>
      <c r="C142" s="77" t="s">
        <v>38</v>
      </c>
      <c r="D142" s="77" t="s">
        <v>38</v>
      </c>
      <c r="E142" s="77" t="s">
        <v>38</v>
      </c>
      <c r="F142" s="198"/>
      <c r="G142" s="77" t="s">
        <v>68</v>
      </c>
      <c r="H142" s="77" t="s">
        <v>69</v>
      </c>
      <c r="I142" s="77" t="s">
        <v>68</v>
      </c>
      <c r="J142" s="77" t="s">
        <v>69</v>
      </c>
      <c r="K142" s="77" t="s">
        <v>68</v>
      </c>
      <c r="L142" s="77" t="s">
        <v>69</v>
      </c>
      <c r="M142" s="77" t="s">
        <v>38</v>
      </c>
      <c r="N142" s="77" t="s">
        <v>38</v>
      </c>
      <c r="O142" s="77" t="s">
        <v>38</v>
      </c>
      <c r="P142" s="198"/>
    </row>
    <row r="143" spans="2:17" ht="32" x14ac:dyDescent="0.2">
      <c r="B143" s="27" t="str">
        <f>B5</f>
        <v>Астероидная опасность</v>
      </c>
      <c r="C143" s="66">
        <f>C108/100*$L$130</f>
        <v>25362.277067831328</v>
      </c>
      <c r="D143" s="66">
        <f>D108/100*$L$131</f>
        <v>1677.166345729569</v>
      </c>
      <c r="E143" s="66">
        <f>E108/100*$L$132</f>
        <v>743.69901232748987</v>
      </c>
      <c r="F143" s="65">
        <f>SUM(C143:E143)</f>
        <v>27783.142425888385</v>
      </c>
      <c r="G143" s="101">
        <f>C108</f>
        <v>50</v>
      </c>
      <c r="H143" s="101">
        <f>(C118/$C$133*$C$130/$L$130+D118/$D$133*$D$130/$L$130+E118/$E$133*$E$130/$L$130+F118/$F$133*$F$130/$L$130+G118/$G$133*$G$130/$L$130+H118/$H$133*$H$130/$L$130+I118/$I$133*$I$130/$L$130)*100</f>
        <v>5.9981063738597467</v>
      </c>
      <c r="I143" s="101">
        <f>D108</f>
        <v>3</v>
      </c>
      <c r="J143" s="101">
        <f>(C118/$C$133*$C$131/$L$131+D118/$D$133*$D$131/$L$131+E118/$E$133*$E$131/$L$131+F118/$F$133*$F$131/$L$131+G118/$G$133*$G$131/$L$131+H118/$H$133*$H$131/$L$131+I118/$I$133*$I$131/$L$131)*100</f>
        <v>25.939520882394952</v>
      </c>
      <c r="K143" s="101">
        <f>E108</f>
        <v>1</v>
      </c>
      <c r="L143" s="101">
        <f>(C118/$C$133*$C$132/$L$132+D118/$D$133*$D$132/$L$132+E118/$E$133*$E$132/$L$132+F118/$F$133*$F$132/$L$132+G118/$G$133*$G$132/$L$132+H118/$H$133*$H$132/$L$132+I118/$I$133*$I$132/$L$132)*100</f>
        <v>8.1956126997770404</v>
      </c>
      <c r="M143" s="66">
        <f>H143/100*$L$130</f>
        <v>3042.5127147231196</v>
      </c>
      <c r="N143" s="66">
        <f>J143/100*$L$131</f>
        <v>14501.630482767396</v>
      </c>
      <c r="O143" s="66">
        <f>L143/100*$L$132</f>
        <v>6095.0690702428174</v>
      </c>
      <c r="P143" s="65">
        <f>K118-J118</f>
        <v>23639.212267733335</v>
      </c>
      <c r="Q143" s="92">
        <f>M143+N143+O143-P143</f>
        <v>0</v>
      </c>
    </row>
    <row r="144" spans="2:17" ht="16" x14ac:dyDescent="0.2">
      <c r="B144" s="27" t="str">
        <f t="shared" ref="B144:B147" si="71">B6</f>
        <v>5G из космоса</v>
      </c>
      <c r="C144" s="66">
        <f>C109/100*$L$130</f>
        <v>18768.085030195183</v>
      </c>
      <c r="D144" s="66">
        <f>D109/100*$L$131</f>
        <v>16771.66345729569</v>
      </c>
      <c r="E144" s="66">
        <f>E109/100*$L$132</f>
        <v>743.69901232748987</v>
      </c>
      <c r="F144" s="65">
        <f t="shared" ref="F144:F147" si="72">SUM(C144:E144)</f>
        <v>36283.447499818358</v>
      </c>
      <c r="G144" s="101">
        <f t="shared" ref="G144:G147" si="73">C109</f>
        <v>37</v>
      </c>
      <c r="H144" s="101">
        <f>(C119/$C$133*$C$130/$L$130+D119/$D$133*$D$130/$L$130+E119/$E$133*$E$130/$L$130+F119/$F$133*$F$130/$L$130+G119/$G$133*$G$130/$L$130+H119/$H$133*$H$130/$L$130+I119/$I$133*$I$130/$L$130)*100</f>
        <v>33.006375634628618</v>
      </c>
      <c r="I144" s="101">
        <f t="shared" ref="I144:I147" si="74">D109</f>
        <v>30</v>
      </c>
      <c r="J144" s="101">
        <f>(C119/$C$133*$C$131/$L$131+D119/$D$133*$D$131/$L$131+E119/$E$133*$E$131/$L$131+F119/$F$133*$F$131/$L$131+G119/$G$133*$G$131/$L$131+H119/$H$133*$H$131/$L$131+I119/$I$133*$I$131/$L$131)*100</f>
        <v>24.358130724234154</v>
      </c>
      <c r="K144" s="101">
        <f t="shared" ref="K144:K147" si="75">E109</f>
        <v>1</v>
      </c>
      <c r="L144" s="101">
        <f>(C119/$C$133*$C$132/$L$132+D119/$D$133*$D$132/$L$132+E119/$E$133*$E$132/$L$132+F119/$F$133*$F$132/$L$132+G119/$G$133*$G$132/$L$132+H119/$H$133*$H$132/$L$132+I119/$I$133*$I$132/$L$132)*100</f>
        <v>11.506059773373273</v>
      </c>
      <c r="M144" s="66">
        <f t="shared" ref="M144:M147" si="76">H144/100*$L$130</f>
        <v>16742.336877007365</v>
      </c>
      <c r="N144" s="66">
        <f t="shared" ref="N144:N147" si="77">J144/100*$L$131</f>
        <v>13617.545698522314</v>
      </c>
      <c r="O144" s="66">
        <f t="shared" ref="O144:O147" si="78">L144/100*$L$132</f>
        <v>8557.0452892387657</v>
      </c>
      <c r="P144" s="65">
        <f>K119-J119</f>
        <v>38916.92786476844</v>
      </c>
      <c r="Q144" s="92">
        <f t="shared" ref="Q144:Q147" si="79">M144+N144+O144-P144</f>
        <v>0</v>
      </c>
    </row>
    <row r="145" spans="2:17" ht="16" x14ac:dyDescent="0.2">
      <c r="B145" s="27" t="str">
        <f t="shared" si="71"/>
        <v>Навигация 2.0</v>
      </c>
      <c r="C145" s="66">
        <f>C110/100*$L$130</f>
        <v>3550.7187894963863</v>
      </c>
      <c r="D145" s="66">
        <f>D110/100*$L$131</f>
        <v>15094.497111566123</v>
      </c>
      <c r="E145" s="66">
        <f>E110/100*$L$132</f>
        <v>18592.475308187248</v>
      </c>
      <c r="F145" s="65">
        <f t="shared" si="72"/>
        <v>37237.691209249759</v>
      </c>
      <c r="G145" s="101">
        <f t="shared" si="73"/>
        <v>7</v>
      </c>
      <c r="H145" s="101">
        <f>(C120/$C$133*$C$130/$L$130+D120/$D$133*$D$130/$L$130+E120/$E$133*$E$130/$L$130+F120/$F$133*$F$130/$L$130+G120/$G$133*$G$130/$L$130+H120/$H$133*$H$130/$L$130+I120/$I$133*$I$130/$L$130)*100</f>
        <v>35.395285596081365</v>
      </c>
      <c r="I145" s="101">
        <f t="shared" si="74"/>
        <v>27</v>
      </c>
      <c r="J145" s="101">
        <f>(C120/$C$133*$C$131/$L$131+D120/$D$133*$D$131/$L$131+E120/$E$133*$E$131/$L$131+F120/$F$133*$F$131/$L$131+G120/$G$133*$G$131/$L$131+H120/$H$133*$H$131/$L$131+I120/$I$133*$I$131/$L$131)*100</f>
        <v>21.643762128796393</v>
      </c>
      <c r="K145" s="101">
        <f t="shared" si="75"/>
        <v>25</v>
      </c>
      <c r="L145" s="101">
        <f>(C120/$C$133*$C$132/$L$132+D120/$D$133*$D$132/$L$132+E120/$E$133*$E$132/$L$132+F120/$F$133*$F$132/$L$132+G120/$G$133*$G$132/$L$132+H120/$H$133*$H$132/$L$132+I120/$I$133*$I$132/$L$132)*100</f>
        <v>28.741792059433713</v>
      </c>
      <c r="M145" s="66">
        <f t="shared" si="76"/>
        <v>17954.1008036567</v>
      </c>
      <c r="N145" s="66">
        <f t="shared" si="77"/>
        <v>12100.063145797829</v>
      </c>
      <c r="O145" s="66">
        <f t="shared" si="78"/>
        <v>21375.242367122944</v>
      </c>
      <c r="P145" s="65">
        <f t="shared" ref="P145:P147" si="80">K120-J120</f>
        <v>51429.406316577471</v>
      </c>
      <c r="Q145" s="92">
        <f t="shared" si="79"/>
        <v>0</v>
      </c>
    </row>
    <row r="146" spans="2:17" ht="32" x14ac:dyDescent="0.2">
      <c r="B146" s="27" t="str">
        <f t="shared" si="71"/>
        <v>Энергетика транспорт</v>
      </c>
      <c r="C146" s="66">
        <f>C111/100*$L$130</f>
        <v>1521.7366240698796</v>
      </c>
      <c r="D146" s="66">
        <f>D111/100*$L$131</f>
        <v>11181.108971530462</v>
      </c>
      <c r="E146" s="66">
        <f>E111/100*$L$132</f>
        <v>26029.465431462144</v>
      </c>
      <c r="F146" s="65">
        <f t="shared" si="72"/>
        <v>38732.311027062489</v>
      </c>
      <c r="G146" s="101">
        <f t="shared" si="73"/>
        <v>3</v>
      </c>
      <c r="H146" s="101">
        <f>(C121/$C$133*$C$130/$L$130+D121/$D$133*$D$130/$L$130+E121/$E$133*$E$130/$L$130+F121/$F$133*$F$130/$L$130+G121/$G$133*$G$130/$L$130+H121/$H$133*$H$130/$L$130+I121/$I$133*$I$130/$L$130)*100</f>
        <v>8.1497957337914713</v>
      </c>
      <c r="I146" s="101">
        <f t="shared" si="74"/>
        <v>20</v>
      </c>
      <c r="J146" s="101">
        <f>(C121/$C$133*$C$131/$L$131+D121/$D$133*$D$131/$L$131+E121/$E$133*$E$131/$L$131+F121/$F$133*$F$131/$L$131+G121/$G$133*$G$131/$L$131+H121/$H$133*$H$131/$L$131+I121/$I$133*$I$131/$L$131)*100</f>
        <v>6.0860911888908458</v>
      </c>
      <c r="K146" s="101">
        <f t="shared" si="75"/>
        <v>35</v>
      </c>
      <c r="L146" s="101">
        <f>(C121/$C$133*$C$132/$L$132+D121/$D$133*$D$132/$L$132+E121/$E$133*$E$132/$L$132+F121/$F$133*$F$132/$L$132+G121/$G$133*$G$132/$L$132+H121/$H$133*$H$132/$L$132+I121/$I$133*$I$132/$L$132)*100</f>
        <v>28.97086341461026</v>
      </c>
      <c r="M146" s="66">
        <f t="shared" si="76"/>
        <v>4133.9475489329798</v>
      </c>
      <c r="N146" s="66">
        <f t="shared" si="77"/>
        <v>3402.4624396829963</v>
      </c>
      <c r="O146" s="66">
        <f t="shared" si="78"/>
        <v>21545.602507720261</v>
      </c>
      <c r="P146" s="65">
        <f t="shared" si="80"/>
        <v>29082.012496336232</v>
      </c>
      <c r="Q146" s="92">
        <f t="shared" si="79"/>
        <v>0</v>
      </c>
    </row>
    <row r="147" spans="2:17" ht="16" x14ac:dyDescent="0.2">
      <c r="B147" s="27" t="str">
        <f t="shared" si="71"/>
        <v>ОптоКванты</v>
      </c>
      <c r="C147" s="66">
        <f>C112/100*$L$130</f>
        <v>1521.7366240698796</v>
      </c>
      <c r="D147" s="66">
        <f>D112/100*$L$131</f>
        <v>11181.108971530462</v>
      </c>
      <c r="E147" s="66">
        <f>E112/100*$L$132</f>
        <v>28260.562468444616</v>
      </c>
      <c r="F147" s="65">
        <f t="shared" si="72"/>
        <v>40963.408064044954</v>
      </c>
      <c r="G147" s="101">
        <f t="shared" si="73"/>
        <v>3</v>
      </c>
      <c r="H147" s="101">
        <f>(C122/$C$133*$C$130/$L$130+D122/$D$133*$D$130/$L$130+E122/$E$133*$E$130/$L$130+F122/$F$133*$F$130/$L$130+G122/$G$133*$G$130/$L$130+H122/$H$133*$H$130/$L$130+I122/$I$133*$I$130/$L$130)*100</f>
        <v>17.450436411945702</v>
      </c>
      <c r="I147" s="101">
        <f t="shared" si="74"/>
        <v>20</v>
      </c>
      <c r="J147" s="101">
        <f>(C122/$C$133*$C$131/$L$131+D122/$D$133*$D$131/$L$131+E122/$E$133*$E$131/$L$131+F122/$F$133*$F$131/$L$131+G122/$G$133*$G$131/$L$131+H122/$H$133*$H$131/$L$131+I122/$I$133*$I$131/$L$131)*100</f>
        <v>21.972494488464815</v>
      </c>
      <c r="K147" s="101">
        <f t="shared" si="75"/>
        <v>38</v>
      </c>
      <c r="L147" s="101">
        <f>(C122/$C$133*$C$132/$L$132+D122/$D$133*$D$132/$L$132+E122/$E$133*$E$132/$L$132+F122/$F$133*$F$132/$L$132+G122/$G$133*$G$132/$L$132+H122/$H$133*$H$132/$L$132+I122/$I$133*$I$132/$L$132)*100</f>
        <v>22.585671598716527</v>
      </c>
      <c r="M147" s="66">
        <f t="shared" si="76"/>
        <v>8851.6560646867856</v>
      </c>
      <c r="N147" s="66">
        <f t="shared" si="77"/>
        <v>12283.842762593877</v>
      </c>
      <c r="O147" s="66">
        <f t="shared" si="78"/>
        <v>16796.941660718523</v>
      </c>
      <c r="P147" s="65">
        <f t="shared" si="80"/>
        <v>37932.440487999185</v>
      </c>
      <c r="Q147" s="92">
        <f t="shared" si="79"/>
        <v>0</v>
      </c>
    </row>
    <row r="148" spans="2:17" x14ac:dyDescent="0.2">
      <c r="B148" s="28" t="s">
        <v>9</v>
      </c>
      <c r="C148" s="91">
        <f t="shared" ref="C148:I148" si="81">SUM(C143:C147)</f>
        <v>50724.554135662664</v>
      </c>
      <c r="D148" s="91">
        <f t="shared" si="81"/>
        <v>55905.544857652305</v>
      </c>
      <c r="E148" s="91">
        <f t="shared" si="81"/>
        <v>74369.901232748991</v>
      </c>
      <c r="F148" s="65">
        <f t="shared" si="81"/>
        <v>181000.00022606394</v>
      </c>
      <c r="G148" s="101">
        <f t="shared" si="81"/>
        <v>100</v>
      </c>
      <c r="H148" s="101">
        <f t="shared" si="81"/>
        <v>99.999999750306898</v>
      </c>
      <c r="I148" s="101">
        <f t="shared" si="81"/>
        <v>100</v>
      </c>
      <c r="J148" s="101">
        <f t="shared" ref="J148" si="82">SUM(J143:J147)</f>
        <v>99.999999412781165</v>
      </c>
      <c r="K148" s="101">
        <f t="shared" ref="K148" si="83">SUM(K143:K147)</f>
        <v>100</v>
      </c>
      <c r="L148" s="101">
        <f t="shared" ref="L148" si="84">SUM(L143:L147)</f>
        <v>99.999999545910825</v>
      </c>
      <c r="M148" s="100">
        <f>SUM(M143:M147)</f>
        <v>50724.554009006948</v>
      </c>
      <c r="N148" s="100">
        <f>SUM(N143:N147)</f>
        <v>55905.544529364415</v>
      </c>
      <c r="O148" s="100">
        <f>SUM(O143:O147)</f>
        <v>74369.90089504332</v>
      </c>
      <c r="P148" s="98">
        <f>SUM(P143:P147)</f>
        <v>180999.99943341466</v>
      </c>
    </row>
    <row r="149" spans="2:17" x14ac:dyDescent="0.2">
      <c r="M149" s="92"/>
      <c r="N149" s="92"/>
      <c r="O149" s="92"/>
    </row>
  </sheetData>
  <mergeCells count="94">
    <mergeCell ref="P140:P142"/>
    <mergeCell ref="B140:B142"/>
    <mergeCell ref="F140:F142"/>
    <mergeCell ref="B138:G138"/>
    <mergeCell ref="L128:L129"/>
    <mergeCell ref="C140:E140"/>
    <mergeCell ref="G141:H141"/>
    <mergeCell ref="I141:J141"/>
    <mergeCell ref="K141:L141"/>
    <mergeCell ref="G140:L140"/>
    <mergeCell ref="M140:O140"/>
    <mergeCell ref="K128:K129"/>
    <mergeCell ref="J128:J129"/>
    <mergeCell ref="L14:L15"/>
    <mergeCell ref="O14:O15"/>
    <mergeCell ref="B66:I66"/>
    <mergeCell ref="B57:I57"/>
    <mergeCell ref="B30:J30"/>
    <mergeCell ref="B47:I47"/>
    <mergeCell ref="C49:E49"/>
    <mergeCell ref="F49:H49"/>
    <mergeCell ref="I49:I50"/>
    <mergeCell ref="N14:N15"/>
    <mergeCell ref="M14:M15"/>
    <mergeCell ref="B2:J2"/>
    <mergeCell ref="J14:J15"/>
    <mergeCell ref="K116:K117"/>
    <mergeCell ref="B58:B59"/>
    <mergeCell ref="C58:E58"/>
    <mergeCell ref="F58:H58"/>
    <mergeCell ref="I58:I59"/>
    <mergeCell ref="B68:B69"/>
    <mergeCell ref="C68:E68"/>
    <mergeCell ref="F68:H68"/>
    <mergeCell ref="I68:I69"/>
    <mergeCell ref="B116:B117"/>
    <mergeCell ref="C116:E116"/>
    <mergeCell ref="C102:D102"/>
    <mergeCell ref="B106:B107"/>
    <mergeCell ref="B84:J84"/>
    <mergeCell ref="F116:H116"/>
    <mergeCell ref="I116:I117"/>
    <mergeCell ref="B88:J88"/>
    <mergeCell ref="J106:J107"/>
    <mergeCell ref="C103:D103"/>
    <mergeCell ref="C100:D100"/>
    <mergeCell ref="B115:K115"/>
    <mergeCell ref="B105:J105"/>
    <mergeCell ref="J116:J117"/>
    <mergeCell ref="J3:J4"/>
    <mergeCell ref="J22:J23"/>
    <mergeCell ref="B14:B15"/>
    <mergeCell ref="C14:E14"/>
    <mergeCell ref="F14:H14"/>
    <mergeCell ref="I14:I15"/>
    <mergeCell ref="B13:J13"/>
    <mergeCell ref="I3:I4"/>
    <mergeCell ref="B3:B4"/>
    <mergeCell ref="C3:E3"/>
    <mergeCell ref="F3:H3"/>
    <mergeCell ref="B20:J20"/>
    <mergeCell ref="B22:B23"/>
    <mergeCell ref="C22:E22"/>
    <mergeCell ref="F22:H22"/>
    <mergeCell ref="I22:I23"/>
    <mergeCell ref="B127:J127"/>
    <mergeCell ref="B128:B129"/>
    <mergeCell ref="C128:E128"/>
    <mergeCell ref="F128:H128"/>
    <mergeCell ref="I128:I129"/>
    <mergeCell ref="B76:J76"/>
    <mergeCell ref="J89:J90"/>
    <mergeCell ref="I89:I90"/>
    <mergeCell ref="B77:B78"/>
    <mergeCell ref="J77:J78"/>
    <mergeCell ref="B89:B90"/>
    <mergeCell ref="C89:E89"/>
    <mergeCell ref="F89:H89"/>
    <mergeCell ref="Q14:Q15"/>
    <mergeCell ref="L13:Q13"/>
    <mergeCell ref="C101:D101"/>
    <mergeCell ref="B49:B50"/>
    <mergeCell ref="B39:B40"/>
    <mergeCell ref="B31:B32"/>
    <mergeCell ref="C31:E31"/>
    <mergeCell ref="F31:H31"/>
    <mergeCell ref="I31:I32"/>
    <mergeCell ref="J31:J32"/>
    <mergeCell ref="B38:J38"/>
    <mergeCell ref="C39:E39"/>
    <mergeCell ref="F39:H39"/>
    <mergeCell ref="I39:I40"/>
    <mergeCell ref="J39:J40"/>
    <mergeCell ref="P14:P15"/>
  </mergeCells>
  <pageMargins left="0.70866141732283472" right="0.70866141732283472" top="0.74803149606299213" bottom="0.74803149606299213" header="0.31496062992125984" footer="0.31496062992125984"/>
  <pageSetup paperSize="9" scale="65" fitToWidth="0" orientation="portrait" verticalDpi="0" r:id="rId1"/>
  <ignoredErrors>
    <ignoredError sqref="C109:C112 D109:D112 E108 E109:E112" formulaRange="1"/>
  </ignoredError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O47"/>
  <sheetViews>
    <sheetView showGridLines="0" zoomScaleNormal="100" workbookViewId="0">
      <selection activeCell="I34" sqref="I34"/>
    </sheetView>
  </sheetViews>
  <sheetFormatPr baseColWidth="10" defaultColWidth="8.83203125" defaultRowHeight="15" x14ac:dyDescent="0.2"/>
  <cols>
    <col min="1" max="1" width="2" customWidth="1"/>
    <col min="2" max="2" width="14.6640625" customWidth="1"/>
    <col min="3" max="3" width="11.33203125" customWidth="1"/>
    <col min="4" max="4" width="11.6640625" customWidth="1"/>
    <col min="5" max="5" width="11" customWidth="1"/>
    <col min="6" max="6" width="12.33203125" customWidth="1"/>
    <col min="7" max="7" width="11.5" customWidth="1"/>
    <col min="8" max="8" width="10.6640625" customWidth="1"/>
    <col min="9" max="9" width="11.5" customWidth="1"/>
    <col min="10" max="10" width="12.83203125" customWidth="1"/>
    <col min="11" max="11" width="12" bestFit="1" customWidth="1"/>
    <col min="12" max="12" width="12.5" customWidth="1"/>
    <col min="13" max="13" width="11" customWidth="1"/>
  </cols>
  <sheetData>
    <row r="1" spans="2:13" x14ac:dyDescent="0.2">
      <c r="B1" s="167" t="s">
        <v>37</v>
      </c>
      <c r="C1" s="183"/>
      <c r="D1" s="183"/>
      <c r="E1" s="183"/>
      <c r="F1" s="183"/>
      <c r="G1" s="82"/>
      <c r="H1" s="82"/>
      <c r="I1" s="82"/>
      <c r="M1" s="48"/>
    </row>
    <row r="2" spans="2:13" ht="24.75" customHeight="1" x14ac:dyDescent="0.2">
      <c r="B2" s="180" t="s">
        <v>52</v>
      </c>
      <c r="C2" s="77" t="str">
        <f>Input!B25</f>
        <v>П1</v>
      </c>
      <c r="D2" s="150" t="str">
        <f>Input!B26</f>
        <v>П2</v>
      </c>
      <c r="E2" s="150" t="str">
        <f>Input!B27</f>
        <v>П3</v>
      </c>
      <c r="F2" s="180" t="s">
        <v>36</v>
      </c>
      <c r="G2" s="15"/>
      <c r="H2" s="16"/>
      <c r="I2" s="16"/>
    </row>
    <row r="3" spans="2:13" x14ac:dyDescent="0.2">
      <c r="B3" s="200"/>
      <c r="C3" s="77" t="s">
        <v>38</v>
      </c>
      <c r="D3" s="77" t="s">
        <v>38</v>
      </c>
      <c r="E3" s="77" t="s">
        <v>38</v>
      </c>
      <c r="F3" s="191"/>
    </row>
    <row r="4" spans="2:13" ht="32" x14ac:dyDescent="0.2">
      <c r="B4" s="27" t="str">
        <f>Input!B8</f>
        <v>Астероидная опасность</v>
      </c>
      <c r="C4" s="66">
        <f>Process!G108</f>
        <v>33000</v>
      </c>
      <c r="D4" s="66">
        <f>Process!H108</f>
        <v>1620</v>
      </c>
      <c r="E4" s="66">
        <f>Process!I108</f>
        <v>610</v>
      </c>
      <c r="F4" s="53">
        <f>Process!J108</f>
        <v>35230</v>
      </c>
    </row>
    <row r="5" spans="2:13" ht="16" x14ac:dyDescent="0.2">
      <c r="B5" s="27" t="str">
        <f>Input!B9</f>
        <v>5G из космоса</v>
      </c>
      <c r="C5" s="66">
        <f>Process!G109</f>
        <v>24420</v>
      </c>
      <c r="D5" s="66">
        <f>Process!H109</f>
        <v>16200</v>
      </c>
      <c r="E5" s="66">
        <f>Process!I109</f>
        <v>610</v>
      </c>
      <c r="F5" s="53">
        <f>Process!J109</f>
        <v>41230</v>
      </c>
    </row>
    <row r="6" spans="2:13" ht="16" x14ac:dyDescent="0.2">
      <c r="B6" s="27" t="str">
        <f>Input!B10</f>
        <v>Навигация 2.0</v>
      </c>
      <c r="C6" s="66">
        <f>Process!G110</f>
        <v>4620</v>
      </c>
      <c r="D6" s="66">
        <f>Process!H110</f>
        <v>14580.000000000002</v>
      </c>
      <c r="E6" s="66">
        <f>Process!I110</f>
        <v>15250</v>
      </c>
      <c r="F6" s="53">
        <f>Process!J110</f>
        <v>34450</v>
      </c>
    </row>
    <row r="7" spans="2:13" ht="32" x14ac:dyDescent="0.2">
      <c r="B7" s="27" t="str">
        <f>Input!B11</f>
        <v>Энергетика транспорт</v>
      </c>
      <c r="C7" s="66">
        <f>Process!G111</f>
        <v>1980</v>
      </c>
      <c r="D7" s="66">
        <f>Process!H111</f>
        <v>10800</v>
      </c>
      <c r="E7" s="66">
        <f>Process!I111</f>
        <v>21350</v>
      </c>
      <c r="F7" s="53">
        <f>Process!J111</f>
        <v>34130</v>
      </c>
    </row>
    <row r="8" spans="2:13" ht="16" x14ac:dyDescent="0.2">
      <c r="B8" s="27" t="str">
        <f>Input!B12</f>
        <v>ОптоКванты</v>
      </c>
      <c r="C8" s="66">
        <f>Process!G112</f>
        <v>1980</v>
      </c>
      <c r="D8" s="66">
        <f>Process!H112</f>
        <v>10800</v>
      </c>
      <c r="E8" s="66">
        <f>Process!I112</f>
        <v>23180</v>
      </c>
      <c r="F8" s="53">
        <f>Process!J112</f>
        <v>35960</v>
      </c>
    </row>
    <row r="9" spans="2:13" x14ac:dyDescent="0.2">
      <c r="B9" s="28" t="s">
        <v>9</v>
      </c>
      <c r="C9" s="66">
        <f>Process!G113</f>
        <v>66000</v>
      </c>
      <c r="D9" s="66">
        <f>Process!H113</f>
        <v>54000</v>
      </c>
      <c r="E9" s="66">
        <f>Process!I113</f>
        <v>61000</v>
      </c>
      <c r="F9" s="53">
        <f>Process!J113</f>
        <v>181000</v>
      </c>
    </row>
    <row r="10" spans="2:13" x14ac:dyDescent="0.2">
      <c r="C10" s="16"/>
      <c r="D10" s="16"/>
      <c r="E10" s="16"/>
      <c r="F10" s="16"/>
    </row>
    <row r="11" spans="2:13" ht="15" customHeight="1" x14ac:dyDescent="0.2">
      <c r="B11" s="167" t="s">
        <v>64</v>
      </c>
      <c r="C11" s="183"/>
      <c r="D11" s="183"/>
      <c r="E11" s="183"/>
      <c r="F11" s="183"/>
      <c r="G11" s="183"/>
      <c r="H11" s="183"/>
      <c r="I11" s="183"/>
      <c r="J11" s="183"/>
    </row>
    <row r="12" spans="2:13" ht="15" customHeight="1" x14ac:dyDescent="0.2">
      <c r="B12" s="180" t="s">
        <v>52</v>
      </c>
      <c r="C12" s="204" t="s">
        <v>67</v>
      </c>
      <c r="D12" s="205"/>
      <c r="E12" s="206"/>
      <c r="F12" s="187" t="s">
        <v>36</v>
      </c>
      <c r="G12" s="204" t="s">
        <v>66</v>
      </c>
      <c r="H12" s="205"/>
      <c r="I12" s="206"/>
      <c r="J12" s="187" t="s">
        <v>36</v>
      </c>
    </row>
    <row r="13" spans="2:13" x14ac:dyDescent="0.2">
      <c r="B13" s="199"/>
      <c r="C13" s="77" t="str">
        <f>C2</f>
        <v>П1</v>
      </c>
      <c r="D13" s="150" t="str">
        <f>D2</f>
        <v>П2</v>
      </c>
      <c r="E13" s="150" t="str">
        <f>E2</f>
        <v>П3</v>
      </c>
      <c r="F13" s="197"/>
      <c r="G13" s="77" t="str">
        <f>C2</f>
        <v>П1</v>
      </c>
      <c r="H13" s="150" t="str">
        <f t="shared" ref="H13:I13" si="0">D2</f>
        <v>П2</v>
      </c>
      <c r="I13" s="150" t="str">
        <f t="shared" si="0"/>
        <v>П3</v>
      </c>
      <c r="J13" s="197"/>
    </row>
    <row r="14" spans="2:13" x14ac:dyDescent="0.2">
      <c r="B14" s="200"/>
      <c r="C14" s="77" t="s">
        <v>38</v>
      </c>
      <c r="D14" s="77" t="s">
        <v>38</v>
      </c>
      <c r="E14" s="77" t="s">
        <v>38</v>
      </c>
      <c r="F14" s="198"/>
      <c r="G14" s="77" t="s">
        <v>38</v>
      </c>
      <c r="H14" s="77" t="s">
        <v>38</v>
      </c>
      <c r="I14" s="77" t="s">
        <v>38</v>
      </c>
      <c r="J14" s="198"/>
    </row>
    <row r="15" spans="2:13" ht="32" x14ac:dyDescent="0.2">
      <c r="B15" s="27" t="str">
        <f>B4</f>
        <v>Астероидная опасность</v>
      </c>
      <c r="C15" s="66">
        <f>Process!C143</f>
        <v>25362.277067831328</v>
      </c>
      <c r="D15" s="66">
        <f>Process!D143</f>
        <v>1677.166345729569</v>
      </c>
      <c r="E15" s="66">
        <f>Process!E143</f>
        <v>743.69901232748987</v>
      </c>
      <c r="F15" s="100">
        <f>Process!F143</f>
        <v>27783.142425888385</v>
      </c>
      <c r="G15" s="66">
        <f>Process!M143</f>
        <v>3042.5127147231196</v>
      </c>
      <c r="H15" s="66">
        <f>Process!N143</f>
        <v>14501.630482767396</v>
      </c>
      <c r="I15" s="66">
        <f>Process!O143</f>
        <v>6095.0690702428174</v>
      </c>
      <c r="J15" s="65">
        <f>Process!P143</f>
        <v>23639.212267733335</v>
      </c>
    </row>
    <row r="16" spans="2:13" ht="16" x14ac:dyDescent="0.2">
      <c r="B16" s="27" t="str">
        <f t="shared" ref="B16:B19" si="1">B5</f>
        <v>5G из космоса</v>
      </c>
      <c r="C16" s="66">
        <f>Process!C144</f>
        <v>18768.085030195183</v>
      </c>
      <c r="D16" s="66">
        <f>Process!D144</f>
        <v>16771.66345729569</v>
      </c>
      <c r="E16" s="66">
        <f>Process!E144</f>
        <v>743.69901232748987</v>
      </c>
      <c r="F16" s="100">
        <f>Process!F144</f>
        <v>36283.447499818358</v>
      </c>
      <c r="G16" s="66">
        <f>Process!M144</f>
        <v>16742.336877007365</v>
      </c>
      <c r="H16" s="66">
        <f>Process!N144</f>
        <v>13617.545698522314</v>
      </c>
      <c r="I16" s="66">
        <f>Process!O144</f>
        <v>8557.0452892387657</v>
      </c>
      <c r="J16" s="65">
        <f>Process!P144</f>
        <v>38916.92786476844</v>
      </c>
    </row>
    <row r="17" spans="2:15" ht="16" x14ac:dyDescent="0.2">
      <c r="B17" s="27" t="str">
        <f t="shared" si="1"/>
        <v>Навигация 2.0</v>
      </c>
      <c r="C17" s="66">
        <f>Process!C145</f>
        <v>3550.7187894963863</v>
      </c>
      <c r="D17" s="66">
        <f>Process!D145</f>
        <v>15094.497111566123</v>
      </c>
      <c r="E17" s="66">
        <f>Process!E145</f>
        <v>18592.475308187248</v>
      </c>
      <c r="F17" s="100">
        <f>Process!F145</f>
        <v>37237.691209249759</v>
      </c>
      <c r="G17" s="66">
        <f>Process!M145</f>
        <v>17954.1008036567</v>
      </c>
      <c r="H17" s="66">
        <f>Process!N145</f>
        <v>12100.063145797829</v>
      </c>
      <c r="I17" s="66">
        <f>Process!O145</f>
        <v>21375.242367122944</v>
      </c>
      <c r="J17" s="65">
        <f>Process!P145</f>
        <v>51429.406316577471</v>
      </c>
    </row>
    <row r="18" spans="2:15" ht="32" x14ac:dyDescent="0.2">
      <c r="B18" s="27" t="str">
        <f t="shared" si="1"/>
        <v>Энергетика транспорт</v>
      </c>
      <c r="C18" s="66">
        <f>Process!C146</f>
        <v>1521.7366240698796</v>
      </c>
      <c r="D18" s="66">
        <f>Process!D146</f>
        <v>11181.108971530462</v>
      </c>
      <c r="E18" s="66">
        <f>Process!E146</f>
        <v>26029.465431462144</v>
      </c>
      <c r="F18" s="100">
        <f>Process!F146</f>
        <v>38732.311027062489</v>
      </c>
      <c r="G18" s="66">
        <f>Process!M146</f>
        <v>4133.9475489329798</v>
      </c>
      <c r="H18" s="66">
        <f>Process!N146</f>
        <v>3402.4624396829963</v>
      </c>
      <c r="I18" s="66">
        <f>Process!O146</f>
        <v>21545.602507720261</v>
      </c>
      <c r="J18" s="65">
        <f>Process!P146</f>
        <v>29082.012496336232</v>
      </c>
    </row>
    <row r="19" spans="2:15" s="19" customFormat="1" ht="15" customHeight="1" x14ac:dyDescent="0.2">
      <c r="B19" s="27" t="str">
        <f t="shared" si="1"/>
        <v>ОптоКванты</v>
      </c>
      <c r="C19" s="66">
        <f>Process!C147</f>
        <v>1521.7366240698796</v>
      </c>
      <c r="D19" s="66">
        <f>Process!D147</f>
        <v>11181.108971530462</v>
      </c>
      <c r="E19" s="66">
        <f>Process!E147</f>
        <v>28260.562468444616</v>
      </c>
      <c r="F19" s="100">
        <f>Process!F147</f>
        <v>40963.408064044954</v>
      </c>
      <c r="G19" s="66">
        <f>Process!M147</f>
        <v>8851.6560646867856</v>
      </c>
      <c r="H19" s="66">
        <f>Process!N147</f>
        <v>12283.842762593877</v>
      </c>
      <c r="I19" s="66">
        <f>Process!O147</f>
        <v>16796.941660718523</v>
      </c>
      <c r="J19" s="65">
        <f>Process!P147</f>
        <v>37932.440487999185</v>
      </c>
      <c r="K19"/>
      <c r="L19"/>
    </row>
    <row r="20" spans="2:15" s="19" customFormat="1" ht="15" customHeight="1" x14ac:dyDescent="0.2">
      <c r="B20" s="28" t="s">
        <v>9</v>
      </c>
      <c r="C20" s="100">
        <f>Process!C148</f>
        <v>50724.554135662664</v>
      </c>
      <c r="D20" s="100">
        <f>Process!D148</f>
        <v>55905.544857652305</v>
      </c>
      <c r="E20" s="100">
        <f>Process!E148</f>
        <v>74369.901232748991</v>
      </c>
      <c r="F20" s="100">
        <f>Process!F148</f>
        <v>181000.00022606394</v>
      </c>
      <c r="G20" s="100">
        <f>Process!M148</f>
        <v>50724.554009006948</v>
      </c>
      <c r="H20" s="100">
        <f>Process!N148</f>
        <v>55905.544529364415</v>
      </c>
      <c r="I20" s="100">
        <f>Process!O148</f>
        <v>74369.90089504332</v>
      </c>
      <c r="J20" s="65">
        <f>Process!P148</f>
        <v>180999.99943341466</v>
      </c>
      <c r="K20"/>
      <c r="L20"/>
    </row>
    <row r="21" spans="2:15" s="19" customFormat="1" ht="15" customHeight="1" x14ac:dyDescent="0.2">
      <c r="L21"/>
    </row>
    <row r="22" spans="2:15" s="19" customFormat="1" ht="15" customHeight="1" x14ac:dyDescent="0.2">
      <c r="B22" s="190" t="s">
        <v>53</v>
      </c>
      <c r="C22" s="190"/>
      <c r="D22" s="190"/>
      <c r="E22" s="190"/>
      <c r="F22" s="190"/>
      <c r="G22" s="190"/>
      <c r="H22" s="190"/>
      <c r="I22" s="190"/>
      <c r="J22" s="190"/>
      <c r="K22" s="210"/>
      <c r="L22" s="210"/>
    </row>
    <row r="23" spans="2:15" s="19" customFormat="1" ht="32.25" customHeight="1" x14ac:dyDescent="0.2">
      <c r="B23" s="153" t="s">
        <v>52</v>
      </c>
      <c r="C23" s="173" t="s">
        <v>58</v>
      </c>
      <c r="D23" s="173"/>
      <c r="E23" s="173"/>
      <c r="F23" s="173" t="s">
        <v>59</v>
      </c>
      <c r="G23" s="173"/>
      <c r="H23" s="173"/>
      <c r="I23" s="153" t="s">
        <v>14</v>
      </c>
      <c r="J23" s="180" t="s">
        <v>57</v>
      </c>
      <c r="K23" s="180" t="s">
        <v>9</v>
      </c>
      <c r="L23" s="34"/>
      <c r="O23"/>
    </row>
    <row r="24" spans="2:15" s="19" customFormat="1" ht="30" x14ac:dyDescent="0.2">
      <c r="B24" s="154"/>
      <c r="C24" s="69" t="str">
        <f>Input!C7</f>
        <v>ИИ</v>
      </c>
      <c r="D24" s="149" t="str">
        <f>Input!D7</f>
        <v>Оптика</v>
      </c>
      <c r="E24" s="149" t="str">
        <f>Input!E7</f>
        <v>Ист Энергии</v>
      </c>
      <c r="F24" s="149" t="str">
        <f>Input!F7</f>
        <v xml:space="preserve">  Робот прз</v>
      </c>
      <c r="G24" s="149" t="str">
        <f>Input!G7</f>
        <v>КосмТех</v>
      </c>
      <c r="H24" s="149" t="str">
        <f>Input!H7</f>
        <v>ЭлемБаза</v>
      </c>
      <c r="I24" s="153" t="s">
        <v>14</v>
      </c>
      <c r="J24" s="166"/>
      <c r="K24" s="181"/>
    </row>
    <row r="25" spans="2:15" s="19" customFormat="1" ht="32" x14ac:dyDescent="0.2">
      <c r="B25" s="27" t="str">
        <f>B4</f>
        <v>Астероидная опасность</v>
      </c>
      <c r="C25" s="53">
        <f>Process!C118</f>
        <v>1.8409878003094035E-13</v>
      </c>
      <c r="D25" s="53">
        <f>Process!D118</f>
        <v>3633.9729510518459</v>
      </c>
      <c r="E25" s="53">
        <f>Process!E118</f>
        <v>3634.0634942716379</v>
      </c>
      <c r="F25" s="53">
        <f>Process!F118</f>
        <v>1.8409878003094035E-13</v>
      </c>
      <c r="G25" s="53">
        <f>Process!G118</f>
        <v>8734.1754223621574</v>
      </c>
      <c r="H25" s="53">
        <f>Process!H118</f>
        <v>7637.0004000476956</v>
      </c>
      <c r="I25" s="53">
        <f>Process!I118</f>
        <v>8.8464818036399342E-14</v>
      </c>
      <c r="J25" s="53">
        <f>Process!J118</f>
        <v>11590.787732266665</v>
      </c>
      <c r="K25" s="53">
        <f>Process!K118</f>
        <v>35230</v>
      </c>
    </row>
    <row r="26" spans="2:15" s="19" customFormat="1" ht="16" x14ac:dyDescent="0.2">
      <c r="B26" s="27" t="str">
        <f t="shared" ref="B26:B29" si="2">B5</f>
        <v>5G из космоса</v>
      </c>
      <c r="C26" s="53">
        <f>Process!C119</f>
        <v>4690.675482305448</v>
      </c>
      <c r="D26" s="53">
        <f>Process!D119</f>
        <v>2.1545253195219051E-13</v>
      </c>
      <c r="E26" s="53">
        <f>Process!E119</f>
        <v>6135.7619098759315</v>
      </c>
      <c r="F26" s="53">
        <f>Process!F119</f>
        <v>7955.2254208463173</v>
      </c>
      <c r="G26" s="53">
        <f>Process!G119</f>
        <v>10406.508517034825</v>
      </c>
      <c r="H26" s="53">
        <f>Process!H119</f>
        <v>9728.756534705919</v>
      </c>
      <c r="I26" s="53">
        <f>Process!I119</f>
        <v>1.0353120771049518E-13</v>
      </c>
      <c r="J26" s="53">
        <f>Process!J119</f>
        <v>2313.0721352315595</v>
      </c>
      <c r="K26" s="53">
        <f>Process!K119</f>
        <v>41230</v>
      </c>
    </row>
    <row r="27" spans="2:15" s="19" customFormat="1" ht="16" x14ac:dyDescent="0.2">
      <c r="B27" s="27" t="str">
        <f t="shared" si="2"/>
        <v>Навигация 2.0</v>
      </c>
      <c r="C27" s="53">
        <f>Process!C120</f>
        <v>5780.2107155660478</v>
      </c>
      <c r="D27" s="53">
        <f>Process!D120</f>
        <v>1.8002279228117785E-13</v>
      </c>
      <c r="E27" s="53">
        <f>Process!E120</f>
        <v>3275.7243793178395</v>
      </c>
      <c r="F27" s="53">
        <f>Process!F120</f>
        <v>8962.6510078972224</v>
      </c>
      <c r="G27" s="53">
        <f>Process!G120</f>
        <v>8963.0626057602367</v>
      </c>
      <c r="H27" s="53">
        <f>Process!H120</f>
        <v>9585.1462749634757</v>
      </c>
      <c r="I27" s="53">
        <f>Process!I120</f>
        <v>14862.611333072649</v>
      </c>
      <c r="J27" s="53">
        <f>Process!J120</f>
        <v>-16979.406316577471</v>
      </c>
      <c r="K27" s="53">
        <f>Process!K120</f>
        <v>34450</v>
      </c>
      <c r="M27" s="23"/>
    </row>
    <row r="28" spans="2:15" s="19" customFormat="1" ht="32" x14ac:dyDescent="0.2">
      <c r="B28" s="27" t="str">
        <f t="shared" si="2"/>
        <v>Энергетика транспорт</v>
      </c>
      <c r="C28" s="53">
        <f>Process!C121</f>
        <v>1.7835059217871116E-13</v>
      </c>
      <c r="D28" s="53">
        <f>Process!D121</f>
        <v>1.7835059217871116E-13</v>
      </c>
      <c r="E28" s="53">
        <f>Process!E121</f>
        <v>7107.8466161768056</v>
      </c>
      <c r="F28" s="53">
        <f>Process!F121</f>
        <v>1.7835059217871116E-13</v>
      </c>
      <c r="G28" s="53">
        <f>Process!G121</f>
        <v>1.7835059217871116E-13</v>
      </c>
      <c r="H28" s="53">
        <f>Process!H121</f>
        <v>8277.1865181524336</v>
      </c>
      <c r="I28" s="53">
        <f>Process!I121</f>
        <v>13696.979362006996</v>
      </c>
      <c r="J28" s="53">
        <f>Process!J121</f>
        <v>5047.9875036637677</v>
      </c>
      <c r="K28" s="53">
        <f>Process!K121</f>
        <v>34130</v>
      </c>
      <c r="M28" s="24"/>
    </row>
    <row r="29" spans="2:15" s="19" customFormat="1" ht="16" x14ac:dyDescent="0.2">
      <c r="B29" s="27" t="str">
        <f t="shared" si="2"/>
        <v>ОптоКванты</v>
      </c>
      <c r="C29" s="53">
        <f>Process!C122</f>
        <v>7035.6087432791774</v>
      </c>
      <c r="D29" s="53">
        <f>Process!D122</f>
        <v>8606.1357237588727</v>
      </c>
      <c r="E29" s="53">
        <f>Process!E122</f>
        <v>1.8791348651469246E-13</v>
      </c>
      <c r="F29" s="53">
        <f>Process!F122</f>
        <v>1.8791348651469246E-13</v>
      </c>
      <c r="G29" s="53">
        <f>Process!G122</f>
        <v>1.8791348651469246E-13</v>
      </c>
      <c r="H29" s="53">
        <f>Process!H122</f>
        <v>11400.286730013429</v>
      </c>
      <c r="I29" s="53">
        <f>Process!I122</f>
        <v>10890.409290947704</v>
      </c>
      <c r="J29" s="53">
        <f>Process!J122</f>
        <v>-1972.4404879991853</v>
      </c>
      <c r="K29" s="53">
        <f>Process!K122</f>
        <v>35960</v>
      </c>
    </row>
    <row r="30" spans="2:15" x14ac:dyDescent="0.2">
      <c r="B30" s="19"/>
      <c r="C30" s="64"/>
      <c r="D30" s="64"/>
      <c r="E30" s="64"/>
      <c r="F30" s="64"/>
      <c r="G30" s="64"/>
      <c r="H30" s="64"/>
      <c r="I30" s="64"/>
      <c r="J30" s="65">
        <f>SUM(J25:J29)</f>
        <v>5.6658533503650688E-4</v>
      </c>
      <c r="K30" s="65">
        <f>SUM(K25:K29)</f>
        <v>181000</v>
      </c>
      <c r="L30" s="19"/>
    </row>
    <row r="32" spans="2:15" ht="15" customHeight="1" x14ac:dyDescent="0.2">
      <c r="B32" s="167" t="s">
        <v>45</v>
      </c>
      <c r="C32" s="186"/>
      <c r="D32" s="186"/>
      <c r="E32" s="186"/>
      <c r="F32" s="186"/>
      <c r="G32" s="186"/>
      <c r="H32" s="186"/>
      <c r="I32" s="186"/>
      <c r="J32" s="189"/>
      <c r="K32" s="19"/>
    </row>
    <row r="33" spans="2:13" ht="30" customHeight="1" x14ac:dyDescent="0.2">
      <c r="B33" s="153" t="s">
        <v>206</v>
      </c>
      <c r="C33" s="173" t="s">
        <v>58</v>
      </c>
      <c r="D33" s="173"/>
      <c r="E33" s="173"/>
      <c r="F33" s="173" t="s">
        <v>59</v>
      </c>
      <c r="G33" s="173"/>
      <c r="H33" s="173"/>
      <c r="I33" s="153" t="s">
        <v>14</v>
      </c>
      <c r="J33" s="180" t="s">
        <v>57</v>
      </c>
      <c r="K33" s="180" t="s">
        <v>9</v>
      </c>
    </row>
    <row r="34" spans="2:13" ht="30" x14ac:dyDescent="0.2">
      <c r="B34" s="154"/>
      <c r="C34" s="69" t="str">
        <f>C24</f>
        <v>ИИ</v>
      </c>
      <c r="D34" s="149" t="str">
        <f t="shared" ref="D34:H34" si="3">D24</f>
        <v>Оптика</v>
      </c>
      <c r="E34" s="149" t="str">
        <f t="shared" si="3"/>
        <v>Ист Энергии</v>
      </c>
      <c r="F34" s="149" t="str">
        <f t="shared" si="3"/>
        <v xml:space="preserve">  Робот прз</v>
      </c>
      <c r="G34" s="149" t="str">
        <f t="shared" si="3"/>
        <v>КосмТех</v>
      </c>
      <c r="H34" s="149" t="str">
        <f t="shared" si="3"/>
        <v>ЭлемБаза</v>
      </c>
      <c r="I34" s="153" t="s">
        <v>14</v>
      </c>
      <c r="J34" s="166"/>
      <c r="K34" s="181"/>
    </row>
    <row r="35" spans="2:13" ht="16" x14ac:dyDescent="0.2">
      <c r="B35" s="27" t="str">
        <f>Input!B25</f>
        <v>П1</v>
      </c>
      <c r="C35" s="53">
        <f>Process!C130</f>
        <v>16541.023708498466</v>
      </c>
      <c r="D35" s="53">
        <f>Process!D130</f>
        <v>3.092442619589336E-7</v>
      </c>
      <c r="E35" s="53">
        <f>Process!E130</f>
        <v>6903.7305513075407</v>
      </c>
      <c r="F35" s="53">
        <f>Process!F130</f>
        <v>16917.876780064595</v>
      </c>
      <c r="G35" s="53">
        <f>Process!G130</f>
        <v>1434.0346090328173</v>
      </c>
      <c r="H35" s="53">
        <f>Process!H130</f>
        <v>8254.4919652769531</v>
      </c>
      <c r="I35" s="53">
        <f>Process!I130</f>
        <v>673.39652117304854</v>
      </c>
      <c r="J35" s="53">
        <f>Process!J130</f>
        <v>15275.445864337344</v>
      </c>
      <c r="K35" s="53">
        <f>Process!K130</f>
        <v>66000</v>
      </c>
    </row>
    <row r="36" spans="2:13" ht="16" x14ac:dyDescent="0.2">
      <c r="B36" s="27" t="str">
        <f>Input!B26</f>
        <v>П2</v>
      </c>
      <c r="C36" s="53">
        <f>Process!C131</f>
        <v>965.47089338903618</v>
      </c>
      <c r="D36" s="53">
        <f>Process!D131</f>
        <v>12240.108313834367</v>
      </c>
      <c r="E36" s="53">
        <f>Process!E131</f>
        <v>2646.0617862805802</v>
      </c>
      <c r="F36" s="53">
        <f>Process!F131</f>
        <v>3.4693487558473067E-7</v>
      </c>
      <c r="G36" s="53">
        <f>Process!G131</f>
        <v>26669.712459234779</v>
      </c>
      <c r="H36" s="53">
        <f>Process!H131</f>
        <v>12834.054830089042</v>
      </c>
      <c r="I36" s="53">
        <f>Process!I131</f>
        <v>550.13657447756339</v>
      </c>
      <c r="J36" s="53">
        <f>Process!J131</f>
        <v>-1905.5448576523049</v>
      </c>
      <c r="K36" s="53">
        <f>Process!K131</f>
        <v>54000</v>
      </c>
    </row>
    <row r="37" spans="2:13" ht="16" x14ac:dyDescent="0.2">
      <c r="B37" s="27" t="str">
        <f>Input!B27</f>
        <v>П3</v>
      </c>
      <c r="C37" s="53">
        <f>Process!C132</f>
        <v>6.0999999756256029E-7</v>
      </c>
      <c r="D37" s="53">
        <f>Process!D132</f>
        <v>6.1000005047162631E-7</v>
      </c>
      <c r="E37" s="53">
        <f>Process!E132</f>
        <v>10603.603797288823</v>
      </c>
      <c r="F37" s="53">
        <f>Process!F132</f>
        <v>2.7450000000016593E-6</v>
      </c>
      <c r="G37" s="53">
        <f>Process!G132</f>
        <v>2.7449999999987531E-6</v>
      </c>
      <c r="H37" s="53">
        <f>Process!H132</f>
        <v>25539.830544838962</v>
      </c>
      <c r="I37" s="53">
        <f>Process!I132</f>
        <v>38226.466883911213</v>
      </c>
      <c r="J37" s="53">
        <f>Process!J132</f>
        <v>-13369.901232748991</v>
      </c>
      <c r="K37" s="53">
        <f>Process!K132</f>
        <v>61000</v>
      </c>
    </row>
    <row r="38" spans="2:13" x14ac:dyDescent="0.2">
      <c r="B38" s="28" t="s">
        <v>27</v>
      </c>
      <c r="C38" s="65">
        <f>Process!C133</f>
        <v>17506.494602497503</v>
      </c>
      <c r="D38" s="65">
        <f>Process!D133</f>
        <v>12240.108314753612</v>
      </c>
      <c r="E38" s="65">
        <f>Process!E133</f>
        <v>20153.396134876944</v>
      </c>
      <c r="F38" s="65">
        <f>Process!F133</f>
        <v>16917.876783156531</v>
      </c>
      <c r="G38" s="65">
        <f>Process!G133</f>
        <v>28103.747071012596</v>
      </c>
      <c r="H38" s="65">
        <f>Process!H133</f>
        <v>46628.377340204956</v>
      </c>
      <c r="I38" s="65">
        <f>Process!I133</f>
        <v>39449.999979561828</v>
      </c>
      <c r="J38" s="65">
        <f>Process!J133</f>
        <v>-2.2606395214097574E-4</v>
      </c>
      <c r="K38" s="65">
        <f>Process!K133</f>
        <v>181000</v>
      </c>
    </row>
    <row r="40" spans="2:13" x14ac:dyDescent="0.2">
      <c r="B40" s="190" t="s">
        <v>208</v>
      </c>
      <c r="C40" s="215"/>
      <c r="D40" s="215"/>
      <c r="E40" s="215"/>
      <c r="F40" s="215"/>
      <c r="G40" s="216"/>
      <c r="H40" s="217"/>
      <c r="I40" s="217"/>
      <c r="J40" s="217"/>
      <c r="K40" s="217"/>
      <c r="L40" s="217"/>
      <c r="M40" s="217"/>
    </row>
    <row r="41" spans="2:13" x14ac:dyDescent="0.2">
      <c r="B41" s="180" t="s">
        <v>206</v>
      </c>
      <c r="C41" s="211" t="s">
        <v>207</v>
      </c>
      <c r="D41" s="212"/>
      <c r="E41" s="212"/>
      <c r="F41" s="212"/>
      <c r="G41" s="212"/>
      <c r="H41" s="211" t="s">
        <v>210</v>
      </c>
      <c r="I41" s="212"/>
      <c r="J41" s="212"/>
      <c r="K41" s="212"/>
      <c r="L41" s="212"/>
      <c r="M41" s="213"/>
    </row>
    <row r="42" spans="2:13" ht="15" customHeight="1" x14ac:dyDescent="0.2">
      <c r="B42" s="214"/>
      <c r="C42" s="180" t="s">
        <v>58</v>
      </c>
      <c r="D42" s="180" t="s">
        <v>209</v>
      </c>
      <c r="E42" s="180" t="s">
        <v>14</v>
      </c>
      <c r="F42" s="180" t="s">
        <v>9</v>
      </c>
      <c r="G42" s="180" t="s">
        <v>72</v>
      </c>
      <c r="H42" s="180" t="s">
        <v>58</v>
      </c>
      <c r="I42" s="180" t="s">
        <v>209</v>
      </c>
      <c r="J42" s="180" t="s">
        <v>14</v>
      </c>
      <c r="K42" s="180" t="s">
        <v>9</v>
      </c>
      <c r="L42" s="180" t="str">
        <f>J33</f>
        <v>Остаток (+)/ Дефицит (-)</v>
      </c>
      <c r="M42" s="180" t="s">
        <v>65</v>
      </c>
    </row>
    <row r="43" spans="2:13" ht="24" customHeight="1" x14ac:dyDescent="0.2">
      <c r="B43" s="166"/>
      <c r="C43" s="166"/>
      <c r="D43" s="166"/>
      <c r="E43" s="181"/>
      <c r="F43" s="181"/>
      <c r="G43" s="181"/>
      <c r="H43" s="166"/>
      <c r="I43" s="166"/>
      <c r="J43" s="181"/>
      <c r="K43" s="181"/>
      <c r="L43" s="166"/>
      <c r="M43" s="181"/>
    </row>
    <row r="44" spans="2:13" ht="16" x14ac:dyDescent="0.2">
      <c r="B44" s="27" t="str">
        <f>Input!B25</f>
        <v>П1</v>
      </c>
      <c r="C44" s="54">
        <f>Process!M16</f>
        <v>0.5</v>
      </c>
      <c r="D44" s="54">
        <f>Process!N16</f>
        <v>0.4</v>
      </c>
      <c r="E44" s="54">
        <f>Process!O16</f>
        <v>0.1</v>
      </c>
      <c r="F44" s="37">
        <f>Process!P16</f>
        <v>1</v>
      </c>
      <c r="G44" s="52">
        <f>Process!Q16</f>
        <v>66000</v>
      </c>
      <c r="H44" s="54">
        <f>(C35+D35+E35)/(K35-J35)</f>
        <v>0.46219734524254918</v>
      </c>
      <c r="I44" s="54">
        <f>(F35+G35+H35)/(K35-J35)</f>
        <v>0.52452710147467485</v>
      </c>
      <c r="J44" s="54">
        <f>(I35)/(K35-J35)</f>
        <v>1.3275553282776064E-2</v>
      </c>
      <c r="K44" s="54">
        <f>H44+I44+J44</f>
        <v>1</v>
      </c>
      <c r="L44" s="52">
        <f>J35</f>
        <v>15275.445864337344</v>
      </c>
      <c r="M44" s="52">
        <f>K35-J35</f>
        <v>50724.554135662656</v>
      </c>
    </row>
    <row r="45" spans="2:13" ht="16" x14ac:dyDescent="0.2">
      <c r="B45" s="27" t="str">
        <f>Input!B26</f>
        <v>П2</v>
      </c>
      <c r="C45" s="54">
        <f>Process!M17</f>
        <v>0.2</v>
      </c>
      <c r="D45" s="54">
        <f>Process!N17</f>
        <v>0.7</v>
      </c>
      <c r="E45" s="54">
        <f>Process!O17</f>
        <v>0.1</v>
      </c>
      <c r="F45" s="37">
        <f>Process!P17</f>
        <v>0.99999999999999989</v>
      </c>
      <c r="G45" s="52">
        <f>Process!Q17</f>
        <v>54000</v>
      </c>
      <c r="H45" s="54">
        <f>(C36+D36+E36)/(K36-J36)</f>
        <v>0.28354326988254414</v>
      </c>
      <c r="I45" s="54">
        <f>(F36+G36+H36)/(K36-J36)</f>
        <v>0.70661626481337325</v>
      </c>
      <c r="J45" s="54">
        <f>(I36)/(K36-J36)</f>
        <v>9.8404653040826441E-3</v>
      </c>
      <c r="K45" s="54">
        <f t="shared" ref="K45:K46" si="4">H45+I45+J45</f>
        <v>1</v>
      </c>
      <c r="L45" s="52">
        <f t="shared" ref="L45:L46" si="5">J36</f>
        <v>-1905.5448576523049</v>
      </c>
      <c r="M45" s="52">
        <f t="shared" ref="M45:M46" si="6">K36-J36</f>
        <v>55905.544857652305</v>
      </c>
    </row>
    <row r="46" spans="2:13" ht="16" x14ac:dyDescent="0.2">
      <c r="B46" s="27" t="str">
        <f>Input!B27</f>
        <v>П3</v>
      </c>
      <c r="C46" s="54">
        <f>Process!M18</f>
        <v>0.1</v>
      </c>
      <c r="D46" s="54">
        <f>Process!N18</f>
        <v>0.45</v>
      </c>
      <c r="E46" s="54">
        <f>Process!O18</f>
        <v>0.45</v>
      </c>
      <c r="F46" s="37">
        <f>Process!P18</f>
        <v>1</v>
      </c>
      <c r="G46" s="52">
        <f>Process!Q18</f>
        <v>61000</v>
      </c>
      <c r="H46" s="54">
        <f>(C37+D37+E37)/(K37-J37)</f>
        <v>0.1425792373358632</v>
      </c>
      <c r="I46" s="54">
        <f>(F37+G37+H37)/(K37-J37)</f>
        <v>0.3434162225172141</v>
      </c>
      <c r="J46" s="54">
        <f>(I37)/(K37-J37)</f>
        <v>0.51400454014692276</v>
      </c>
      <c r="K46" s="54">
        <f t="shared" si="4"/>
        <v>1</v>
      </c>
      <c r="L46" s="52">
        <f t="shared" si="5"/>
        <v>-13369.901232748991</v>
      </c>
      <c r="M46" s="52">
        <f t="shared" si="6"/>
        <v>74369.901232748991</v>
      </c>
    </row>
    <row r="47" spans="2:13" ht="30" x14ac:dyDescent="0.2">
      <c r="B47" s="105" t="s">
        <v>71</v>
      </c>
      <c r="C47" s="148">
        <f>C44*G44+C45*G45+C46*G46</f>
        <v>49900</v>
      </c>
      <c r="D47" s="148">
        <f>D44*G44+D45*G45+D46*G46</f>
        <v>91650</v>
      </c>
      <c r="E47" s="148">
        <f>E44*G44+E45*G45+E46*G46</f>
        <v>39450</v>
      </c>
      <c r="F47" s="148">
        <f>C47+D47+E47</f>
        <v>181000</v>
      </c>
      <c r="G47" s="148">
        <f>SUM(G44:G46)</f>
        <v>181000</v>
      </c>
      <c r="H47" s="148">
        <f>H44*M44+H45*M45+H46*M46</f>
        <v>49899.999052128056</v>
      </c>
      <c r="I47" s="148">
        <f>I44*M44+I45*M45+I46*M46</f>
        <v>91650.001194374083</v>
      </c>
      <c r="J47" s="148">
        <f>J44*M44+J45*M45+J46*M46</f>
        <v>39449.999979561828</v>
      </c>
      <c r="K47" s="148">
        <f>H47+I47+J47</f>
        <v>181000.00022606397</v>
      </c>
      <c r="L47" s="148">
        <f>SUM(L44:L46)</f>
        <v>-2.2606395214097574E-4</v>
      </c>
      <c r="M47" s="148">
        <f>SUM(M44:M46)</f>
        <v>181000.00022606394</v>
      </c>
    </row>
  </sheetData>
  <mergeCells count="34">
    <mergeCell ref="L42:L43"/>
    <mergeCell ref="F2:F3"/>
    <mergeCell ref="B11:J11"/>
    <mergeCell ref="C42:C43"/>
    <mergeCell ref="D42:D43"/>
    <mergeCell ref="E42:E43"/>
    <mergeCell ref="F42:F43"/>
    <mergeCell ref="G42:G43"/>
    <mergeCell ref="B41:B43"/>
    <mergeCell ref="C41:G41"/>
    <mergeCell ref="H42:H43"/>
    <mergeCell ref="I42:I43"/>
    <mergeCell ref="B40:M40"/>
    <mergeCell ref="J42:J43"/>
    <mergeCell ref="K42:K43"/>
    <mergeCell ref="M42:M43"/>
    <mergeCell ref="H41:M41"/>
    <mergeCell ref="K23:K24"/>
    <mergeCell ref="C12:E12"/>
    <mergeCell ref="F12:F14"/>
    <mergeCell ref="G12:I12"/>
    <mergeCell ref="J12:J14"/>
    <mergeCell ref="B1:F1"/>
    <mergeCell ref="B12:B14"/>
    <mergeCell ref="K33:K34"/>
    <mergeCell ref="B32:J32"/>
    <mergeCell ref="C33:E33"/>
    <mergeCell ref="F33:H33"/>
    <mergeCell ref="J33:J34"/>
    <mergeCell ref="B2:B3"/>
    <mergeCell ref="B22:L22"/>
    <mergeCell ref="C23:E23"/>
    <mergeCell ref="F23:H23"/>
    <mergeCell ref="J23:J24"/>
  </mergeCells>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F9B90-7093-4A45-885C-468EB82FE75E}">
  <sheetPr codeName="Sheet4"/>
  <dimension ref="A4:J96"/>
  <sheetViews>
    <sheetView workbookViewId="0">
      <selection activeCell="F3" sqref="F3"/>
    </sheetView>
  </sheetViews>
  <sheetFormatPr baseColWidth="10" defaultColWidth="8.83203125" defaultRowHeight="15" x14ac:dyDescent="0.2"/>
  <cols>
    <col min="1" max="1" width="23.33203125" customWidth="1"/>
  </cols>
  <sheetData>
    <row r="4" spans="1:2" x14ac:dyDescent="0.2">
      <c r="A4" t="s">
        <v>206</v>
      </c>
      <c r="B4" t="s">
        <v>224</v>
      </c>
    </row>
    <row r="5" spans="1:2" x14ac:dyDescent="0.2">
      <c r="B5" t="s">
        <v>223</v>
      </c>
    </row>
    <row r="6" spans="1:2" x14ac:dyDescent="0.2">
      <c r="A6" t="str">
        <f>Input!B25</f>
        <v>П1</v>
      </c>
      <c r="B6" s="155">
        <v>66</v>
      </c>
    </row>
    <row r="7" spans="1:2" x14ac:dyDescent="0.2">
      <c r="A7" t="str">
        <f>Input!B26</f>
        <v>П2</v>
      </c>
      <c r="B7" s="155">
        <v>54</v>
      </c>
    </row>
    <row r="8" spans="1:2" x14ac:dyDescent="0.2">
      <c r="A8" t="str">
        <f>Input!B27</f>
        <v>П3</v>
      </c>
      <c r="B8" s="155">
        <v>61</v>
      </c>
    </row>
    <row r="9" spans="1:2" x14ac:dyDescent="0.2">
      <c r="A9" t="s">
        <v>222</v>
      </c>
      <c r="B9" s="155">
        <f>SUM(B6:B8)</f>
        <v>181</v>
      </c>
    </row>
    <row r="96" spans="10:10" x14ac:dyDescent="0.2">
      <c r="J96">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Scroll Bar 1">
              <controlPr defaultSize="0" autoPict="0">
                <anchor moveWithCells="1">
                  <from>
                    <xdr:col>2</xdr:col>
                    <xdr:colOff>0</xdr:colOff>
                    <xdr:row>5</xdr:row>
                    <xdr:rowOff>0</xdr:rowOff>
                  </from>
                  <to>
                    <xdr:col>7</xdr:col>
                    <xdr:colOff>12700</xdr:colOff>
                    <xdr:row>5</xdr:row>
                    <xdr:rowOff>139700</xdr:rowOff>
                  </to>
                </anchor>
              </controlPr>
            </control>
          </mc:Choice>
        </mc:AlternateContent>
        <mc:AlternateContent xmlns:mc="http://schemas.openxmlformats.org/markup-compatibility/2006">
          <mc:Choice Requires="x14">
            <control shapeId="5122" r:id="rId4" name="Scroll Bar 2">
              <controlPr defaultSize="0" autoPict="0">
                <anchor moveWithCells="1">
                  <from>
                    <xdr:col>2</xdr:col>
                    <xdr:colOff>0</xdr:colOff>
                    <xdr:row>6</xdr:row>
                    <xdr:rowOff>0</xdr:rowOff>
                  </from>
                  <to>
                    <xdr:col>6</xdr:col>
                    <xdr:colOff>647700</xdr:colOff>
                    <xdr:row>6</xdr:row>
                    <xdr:rowOff>152400</xdr:rowOff>
                  </to>
                </anchor>
              </controlPr>
            </control>
          </mc:Choice>
        </mc:AlternateContent>
        <mc:AlternateContent xmlns:mc="http://schemas.openxmlformats.org/markup-compatibility/2006">
          <mc:Choice Requires="x14">
            <control shapeId="5123" r:id="rId5" name="Scroll Bar 3">
              <controlPr defaultSize="0" autoPict="0">
                <anchor moveWithCells="1">
                  <from>
                    <xdr:col>1</xdr:col>
                    <xdr:colOff>647700</xdr:colOff>
                    <xdr:row>7</xdr:row>
                    <xdr:rowOff>0</xdr:rowOff>
                  </from>
                  <to>
                    <xdr:col>7</xdr:col>
                    <xdr:colOff>0</xdr:colOff>
                    <xdr:row>7</xdr:row>
                    <xdr:rowOff>177800</xdr:rowOff>
                  </to>
                </anchor>
              </controlPr>
            </control>
          </mc:Choice>
        </mc:AlternateContent>
        <mc:AlternateContent xmlns:mc="http://schemas.openxmlformats.org/markup-compatibility/2006">
          <mc:Choice Requires="x14">
            <control shapeId="5124" r:id="rId6" name="Button 4">
              <controlPr defaultSize="0" print="0" autoFill="0" autoPict="0" macro="[0]!calc">
                <anchor moveWithCells="1" sizeWithCells="1">
                  <from>
                    <xdr:col>0</xdr:col>
                    <xdr:colOff>647700</xdr:colOff>
                    <xdr:row>8</xdr:row>
                    <xdr:rowOff>177800</xdr:rowOff>
                  </from>
                  <to>
                    <xdr:col>3</xdr:col>
                    <xdr:colOff>622300</xdr:colOff>
                    <xdr:row>10</xdr:row>
                    <xdr:rowOff>177800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2:T37"/>
  <sheetViews>
    <sheetView showGridLines="0" workbookViewId="0">
      <selection activeCell="D11" sqref="D11"/>
    </sheetView>
  </sheetViews>
  <sheetFormatPr baseColWidth="10" defaultColWidth="8.83203125" defaultRowHeight="15" x14ac:dyDescent="0.2"/>
  <cols>
    <col min="2" max="2" width="2" customWidth="1"/>
    <col min="3" max="3" width="14" customWidth="1"/>
    <col min="4" max="4" width="9.5" customWidth="1"/>
    <col min="5" max="5" width="9.83203125" customWidth="1"/>
    <col min="6" max="6" width="6.83203125" customWidth="1"/>
    <col min="7" max="7" width="10" customWidth="1"/>
    <col min="8" max="8" width="9.5" customWidth="1"/>
    <col min="10" max="10" width="13.5" customWidth="1"/>
    <col min="11" max="12" width="9.83203125" customWidth="1"/>
    <col min="13" max="13" width="6" customWidth="1"/>
    <col min="14" max="14" width="10" customWidth="1"/>
    <col min="15" max="15" width="9.83203125" customWidth="1"/>
    <col min="16" max="16" width="10.33203125" customWidth="1"/>
    <col min="17" max="17" width="9.83203125" customWidth="1"/>
    <col min="18" max="18" width="6.5" customWidth="1"/>
    <col min="19" max="19" width="10.5" customWidth="1"/>
  </cols>
  <sheetData>
    <row r="2" spans="1:16" x14ac:dyDescent="0.2">
      <c r="C2" s="107"/>
      <c r="D2" s="108" t="s">
        <v>89</v>
      </c>
      <c r="E2" s="108" t="s">
        <v>90</v>
      </c>
      <c r="F2" s="109" t="s">
        <v>73</v>
      </c>
      <c r="G2" s="108" t="s">
        <v>91</v>
      </c>
      <c r="H2" s="110" t="s">
        <v>92</v>
      </c>
      <c r="J2" s="107"/>
      <c r="K2" s="109" t="s">
        <v>89</v>
      </c>
      <c r="L2" s="109" t="s">
        <v>90</v>
      </c>
      <c r="M2" s="109" t="s">
        <v>73</v>
      </c>
      <c r="N2" s="109" t="s">
        <v>91</v>
      </c>
      <c r="O2" s="123" t="s">
        <v>92</v>
      </c>
    </row>
    <row r="3" spans="1:16" x14ac:dyDescent="0.2">
      <c r="A3" s="38"/>
      <c r="B3" s="38"/>
      <c r="C3" s="111" t="s">
        <v>0</v>
      </c>
      <c r="D3" s="112" t="s">
        <v>75</v>
      </c>
      <c r="E3" s="112" t="s">
        <v>76</v>
      </c>
      <c r="F3" s="112" t="s">
        <v>73</v>
      </c>
      <c r="G3" s="112" t="s">
        <v>81</v>
      </c>
      <c r="H3" s="113" t="s">
        <v>78</v>
      </c>
      <c r="I3" s="38"/>
      <c r="J3" s="111" t="s">
        <v>94</v>
      </c>
      <c r="K3" s="112" t="s">
        <v>132</v>
      </c>
      <c r="L3" s="112" t="s">
        <v>138</v>
      </c>
      <c r="M3" s="112" t="s">
        <v>73</v>
      </c>
      <c r="N3" s="112" t="s">
        <v>140</v>
      </c>
      <c r="O3" s="113" t="s">
        <v>142</v>
      </c>
    </row>
    <row r="4" spans="1:16" x14ac:dyDescent="0.2">
      <c r="C4" s="111" t="s">
        <v>1</v>
      </c>
      <c r="D4" s="112" t="s">
        <v>79</v>
      </c>
      <c r="E4" s="112" t="s">
        <v>80</v>
      </c>
      <c r="F4" s="112" t="s">
        <v>73</v>
      </c>
      <c r="G4" s="112" t="s">
        <v>83</v>
      </c>
      <c r="H4" s="113" t="s">
        <v>82</v>
      </c>
      <c r="J4" s="111" t="s">
        <v>95</v>
      </c>
      <c r="K4" s="112" t="s">
        <v>133</v>
      </c>
      <c r="L4" s="112" t="s">
        <v>139</v>
      </c>
      <c r="M4" s="112" t="s">
        <v>73</v>
      </c>
      <c r="N4" s="112" t="s">
        <v>141</v>
      </c>
      <c r="O4" s="113" t="s">
        <v>143</v>
      </c>
    </row>
    <row r="5" spans="1:16" x14ac:dyDescent="0.2">
      <c r="A5" s="39"/>
      <c r="B5" s="39"/>
      <c r="C5" s="114" t="s">
        <v>93</v>
      </c>
      <c r="D5" s="115" t="s">
        <v>73</v>
      </c>
      <c r="E5" s="116" t="s">
        <v>73</v>
      </c>
      <c r="F5" s="116" t="s">
        <v>73</v>
      </c>
      <c r="G5" s="112" t="s">
        <v>77</v>
      </c>
      <c r="H5" s="113" t="s">
        <v>84</v>
      </c>
      <c r="I5" s="39"/>
      <c r="J5" s="114" t="s">
        <v>97</v>
      </c>
      <c r="K5" s="115" t="s">
        <v>73</v>
      </c>
      <c r="L5" s="116" t="s">
        <v>73</v>
      </c>
      <c r="M5" s="116" t="s">
        <v>73</v>
      </c>
      <c r="N5" s="112" t="s">
        <v>135</v>
      </c>
      <c r="O5" s="113" t="s">
        <v>144</v>
      </c>
    </row>
    <row r="6" spans="1:16" x14ac:dyDescent="0.2">
      <c r="C6" s="117" t="s">
        <v>73</v>
      </c>
      <c r="D6" s="115" t="s">
        <v>73</v>
      </c>
      <c r="E6" s="116" t="s">
        <v>73</v>
      </c>
      <c r="F6" s="116" t="s">
        <v>73</v>
      </c>
      <c r="G6" s="112" t="s">
        <v>73</v>
      </c>
      <c r="H6" s="113" t="s">
        <v>73</v>
      </c>
      <c r="I6" s="39"/>
      <c r="J6" s="117" t="s">
        <v>73</v>
      </c>
      <c r="K6" s="115" t="s">
        <v>73</v>
      </c>
      <c r="L6" s="116" t="s">
        <v>73</v>
      </c>
      <c r="M6" s="116" t="s">
        <v>73</v>
      </c>
      <c r="N6" s="112" t="s">
        <v>73</v>
      </c>
      <c r="O6" s="113" t="s">
        <v>73</v>
      </c>
    </row>
    <row r="7" spans="1:16" x14ac:dyDescent="0.2">
      <c r="C7" s="118" t="s">
        <v>74</v>
      </c>
      <c r="D7" s="119" t="s">
        <v>85</v>
      </c>
      <c r="E7" s="119" t="s">
        <v>86</v>
      </c>
      <c r="F7" s="119" t="s">
        <v>73</v>
      </c>
      <c r="G7" s="119" t="s">
        <v>87</v>
      </c>
      <c r="H7" s="120" t="s">
        <v>88</v>
      </c>
      <c r="J7" s="114" t="s">
        <v>96</v>
      </c>
      <c r="K7" s="119" t="s">
        <v>134</v>
      </c>
      <c r="L7" s="119" t="s">
        <v>137</v>
      </c>
      <c r="M7" s="119" t="s">
        <v>73</v>
      </c>
      <c r="N7" s="119" t="s">
        <v>136</v>
      </c>
      <c r="O7" s="120" t="s">
        <v>145</v>
      </c>
    </row>
    <row r="8" spans="1:16" x14ac:dyDescent="0.2">
      <c r="C8" s="121"/>
      <c r="D8" s="122"/>
      <c r="E8" s="122"/>
      <c r="F8" s="122"/>
      <c r="G8" s="122"/>
      <c r="H8" s="122"/>
    </row>
    <row r="9" spans="1:16" x14ac:dyDescent="0.2">
      <c r="C9" s="121"/>
      <c r="D9" s="122"/>
      <c r="E9" s="122"/>
      <c r="F9" s="122"/>
      <c r="G9" s="122"/>
      <c r="H9" s="122"/>
      <c r="J9" s="107"/>
      <c r="K9" s="109" t="s">
        <v>146</v>
      </c>
      <c r="L9" s="109" t="s">
        <v>147</v>
      </c>
      <c r="M9" s="109" t="s">
        <v>73</v>
      </c>
      <c r="N9" s="109" t="s">
        <v>148</v>
      </c>
      <c r="O9" s="123" t="s">
        <v>149</v>
      </c>
      <c r="P9" s="124" t="s">
        <v>190</v>
      </c>
    </row>
    <row r="10" spans="1:16" x14ac:dyDescent="0.2">
      <c r="C10" s="107"/>
      <c r="D10" s="108" t="s">
        <v>89</v>
      </c>
      <c r="E10" s="108" t="s">
        <v>90</v>
      </c>
      <c r="F10" s="109" t="s">
        <v>73</v>
      </c>
      <c r="G10" s="108" t="s">
        <v>91</v>
      </c>
      <c r="H10" s="110" t="s">
        <v>92</v>
      </c>
      <c r="J10" s="111" t="s">
        <v>0</v>
      </c>
      <c r="K10" s="112" t="s">
        <v>150</v>
      </c>
      <c r="L10" s="112" t="s">
        <v>153</v>
      </c>
      <c r="M10" s="112" t="s">
        <v>73</v>
      </c>
      <c r="N10" s="112" t="s">
        <v>156</v>
      </c>
      <c r="O10" s="113" t="s">
        <v>160</v>
      </c>
      <c r="P10" s="125" t="s">
        <v>164</v>
      </c>
    </row>
    <row r="11" spans="1:16" x14ac:dyDescent="0.2">
      <c r="C11" s="111" t="s">
        <v>0</v>
      </c>
      <c r="D11" s="112" t="s">
        <v>118</v>
      </c>
      <c r="E11" s="112" t="s">
        <v>121</v>
      </c>
      <c r="F11" s="112" t="s">
        <v>73</v>
      </c>
      <c r="G11" s="112" t="s">
        <v>124</v>
      </c>
      <c r="H11" s="113" t="s">
        <v>128</v>
      </c>
      <c r="J11" s="111" t="s">
        <v>1</v>
      </c>
      <c r="K11" s="112" t="s">
        <v>151</v>
      </c>
      <c r="L11" s="112" t="s">
        <v>154</v>
      </c>
      <c r="M11" s="112" t="s">
        <v>73</v>
      </c>
      <c r="N11" s="112" t="s">
        <v>157</v>
      </c>
      <c r="O11" s="113" t="s">
        <v>161</v>
      </c>
      <c r="P11" s="125" t="s">
        <v>165</v>
      </c>
    </row>
    <row r="12" spans="1:16" x14ac:dyDescent="0.2">
      <c r="C12" s="111" t="s">
        <v>1</v>
      </c>
      <c r="D12" s="112" t="s">
        <v>119</v>
      </c>
      <c r="E12" s="112" t="s">
        <v>122</v>
      </c>
      <c r="F12" s="112" t="s">
        <v>73</v>
      </c>
      <c r="G12" s="112" t="s">
        <v>125</v>
      </c>
      <c r="H12" s="113" t="s">
        <v>129</v>
      </c>
      <c r="J12" s="114" t="s">
        <v>93</v>
      </c>
      <c r="K12" s="115" t="s">
        <v>73</v>
      </c>
      <c r="L12" s="116" t="s">
        <v>73</v>
      </c>
      <c r="M12" s="116" t="s">
        <v>73</v>
      </c>
      <c r="N12" s="112" t="s">
        <v>158</v>
      </c>
      <c r="O12" s="113" t="s">
        <v>162</v>
      </c>
      <c r="P12" s="125" t="s">
        <v>166</v>
      </c>
    </row>
    <row r="13" spans="1:16" x14ac:dyDescent="0.2">
      <c r="C13" s="114" t="s">
        <v>93</v>
      </c>
      <c r="D13" s="115" t="s">
        <v>73</v>
      </c>
      <c r="E13" s="116" t="s">
        <v>73</v>
      </c>
      <c r="F13" s="116" t="s">
        <v>73</v>
      </c>
      <c r="G13" s="112" t="s">
        <v>126</v>
      </c>
      <c r="H13" s="113" t="s">
        <v>130</v>
      </c>
      <c r="J13" s="117" t="s">
        <v>73</v>
      </c>
      <c r="K13" s="115" t="s">
        <v>73</v>
      </c>
      <c r="L13" s="116" t="s">
        <v>73</v>
      </c>
      <c r="M13" s="116" t="s">
        <v>73</v>
      </c>
      <c r="N13" s="112" t="s">
        <v>73</v>
      </c>
      <c r="O13" s="113" t="s">
        <v>73</v>
      </c>
      <c r="P13" s="125" t="s">
        <v>73</v>
      </c>
    </row>
    <row r="14" spans="1:16" x14ac:dyDescent="0.2">
      <c r="C14" s="117" t="s">
        <v>73</v>
      </c>
      <c r="D14" s="115" t="s">
        <v>73</v>
      </c>
      <c r="E14" s="116" t="s">
        <v>73</v>
      </c>
      <c r="F14" s="116" t="s">
        <v>73</v>
      </c>
      <c r="G14" s="112" t="s">
        <v>73</v>
      </c>
      <c r="H14" s="113" t="s">
        <v>73</v>
      </c>
      <c r="J14" s="118" t="s">
        <v>74</v>
      </c>
      <c r="K14" s="119" t="s">
        <v>152</v>
      </c>
      <c r="L14" s="119" t="s">
        <v>155</v>
      </c>
      <c r="M14" s="119" t="s">
        <v>73</v>
      </c>
      <c r="N14" s="119" t="s">
        <v>159</v>
      </c>
      <c r="O14" s="120" t="s">
        <v>163</v>
      </c>
      <c r="P14" s="126" t="s">
        <v>167</v>
      </c>
    </row>
    <row r="15" spans="1:16" x14ac:dyDescent="0.2">
      <c r="C15" s="118" t="s">
        <v>74</v>
      </c>
      <c r="D15" s="119" t="s">
        <v>120</v>
      </c>
      <c r="E15" s="119" t="s">
        <v>123</v>
      </c>
      <c r="F15" s="119" t="s">
        <v>73</v>
      </c>
      <c r="G15" s="119" t="s">
        <v>127</v>
      </c>
      <c r="H15" s="120" t="s">
        <v>131</v>
      </c>
    </row>
    <row r="16" spans="1:16" x14ac:dyDescent="0.2">
      <c r="C16" s="121"/>
      <c r="D16" s="122"/>
      <c r="E16" s="122"/>
      <c r="F16" s="122"/>
      <c r="G16" s="122"/>
      <c r="H16" s="122"/>
      <c r="J16" s="107"/>
      <c r="K16" s="109" t="s">
        <v>89</v>
      </c>
      <c r="L16" s="109" t="s">
        <v>90</v>
      </c>
      <c r="M16" s="109" t="s">
        <v>73</v>
      </c>
      <c r="N16" s="109" t="s">
        <v>91</v>
      </c>
      <c r="O16" s="123" t="s">
        <v>92</v>
      </c>
    </row>
    <row r="17" spans="3:20" x14ac:dyDescent="0.2">
      <c r="C17" s="107"/>
      <c r="D17" s="108" t="s">
        <v>89</v>
      </c>
      <c r="E17" s="108" t="s">
        <v>90</v>
      </c>
      <c r="F17" s="109" t="s">
        <v>73</v>
      </c>
      <c r="G17" s="108" t="s">
        <v>91</v>
      </c>
      <c r="H17" s="110" t="s">
        <v>92</v>
      </c>
      <c r="J17" s="111" t="s">
        <v>0</v>
      </c>
      <c r="K17" s="112" t="s">
        <v>168</v>
      </c>
      <c r="L17" s="112" t="s">
        <v>171</v>
      </c>
      <c r="M17" s="112" t="s">
        <v>73</v>
      </c>
      <c r="N17" s="112" t="s">
        <v>174</v>
      </c>
      <c r="O17" s="113" t="s">
        <v>178</v>
      </c>
    </row>
    <row r="18" spans="3:20" x14ac:dyDescent="0.2">
      <c r="C18" s="111" t="s">
        <v>94</v>
      </c>
      <c r="D18" s="112" t="s">
        <v>98</v>
      </c>
      <c r="E18" s="112" t="s">
        <v>99</v>
      </c>
      <c r="F18" s="112" t="s">
        <v>73</v>
      </c>
      <c r="G18" s="112" t="s">
        <v>101</v>
      </c>
      <c r="H18" s="113" t="s">
        <v>102</v>
      </c>
      <c r="J18" s="111" t="s">
        <v>1</v>
      </c>
      <c r="K18" s="112" t="s">
        <v>169</v>
      </c>
      <c r="L18" s="112" t="s">
        <v>172</v>
      </c>
      <c r="M18" s="112" t="s">
        <v>73</v>
      </c>
      <c r="N18" s="112" t="s">
        <v>175</v>
      </c>
      <c r="O18" s="113" t="s">
        <v>179</v>
      </c>
    </row>
    <row r="19" spans="3:20" x14ac:dyDescent="0.2">
      <c r="C19" s="111" t="s">
        <v>95</v>
      </c>
      <c r="D19" s="112" t="s">
        <v>100</v>
      </c>
      <c r="E19" s="112" t="s">
        <v>103</v>
      </c>
      <c r="F19" s="112" t="s">
        <v>73</v>
      </c>
      <c r="G19" s="112" t="s">
        <v>104</v>
      </c>
      <c r="H19" s="113" t="s">
        <v>105</v>
      </c>
      <c r="J19" s="114" t="s">
        <v>93</v>
      </c>
      <c r="K19" s="115" t="s">
        <v>73</v>
      </c>
      <c r="L19" s="116" t="s">
        <v>73</v>
      </c>
      <c r="M19" s="116" t="s">
        <v>73</v>
      </c>
      <c r="N19" s="112" t="s">
        <v>176</v>
      </c>
      <c r="O19" s="113" t="s">
        <v>180</v>
      </c>
    </row>
    <row r="20" spans="3:20" x14ac:dyDescent="0.2">
      <c r="C20" s="114" t="s">
        <v>97</v>
      </c>
      <c r="D20" s="115" t="s">
        <v>73</v>
      </c>
      <c r="E20" s="116" t="s">
        <v>73</v>
      </c>
      <c r="F20" s="116" t="s">
        <v>73</v>
      </c>
      <c r="G20" s="112" t="s">
        <v>106</v>
      </c>
      <c r="H20" s="113" t="s">
        <v>114</v>
      </c>
      <c r="J20" s="117" t="s">
        <v>73</v>
      </c>
      <c r="K20" s="115" t="s">
        <v>73</v>
      </c>
      <c r="L20" s="116" t="s">
        <v>73</v>
      </c>
      <c r="M20" s="116" t="s">
        <v>73</v>
      </c>
      <c r="N20" s="112" t="s">
        <v>73</v>
      </c>
      <c r="O20" s="113" t="s">
        <v>73</v>
      </c>
    </row>
    <row r="21" spans="3:20" x14ac:dyDescent="0.2">
      <c r="C21" s="117" t="s">
        <v>73</v>
      </c>
      <c r="D21" s="115" t="s">
        <v>73</v>
      </c>
      <c r="E21" s="116" t="s">
        <v>73</v>
      </c>
      <c r="F21" s="116" t="s">
        <v>73</v>
      </c>
      <c r="G21" s="112" t="s">
        <v>73</v>
      </c>
      <c r="H21" s="113" t="s">
        <v>73</v>
      </c>
      <c r="J21" s="118" t="s">
        <v>74</v>
      </c>
      <c r="K21" s="119" t="s">
        <v>170</v>
      </c>
      <c r="L21" s="112" t="s">
        <v>173</v>
      </c>
      <c r="M21" s="119" t="s">
        <v>73</v>
      </c>
      <c r="N21" s="119" t="s">
        <v>177</v>
      </c>
      <c r="O21" s="113" t="s">
        <v>181</v>
      </c>
    </row>
    <row r="22" spans="3:20" x14ac:dyDescent="0.2">
      <c r="C22" s="144" t="s">
        <v>96</v>
      </c>
      <c r="D22" s="119" t="s">
        <v>108</v>
      </c>
      <c r="E22" s="119" t="s">
        <v>109</v>
      </c>
      <c r="F22" s="119" t="s">
        <v>73</v>
      </c>
      <c r="G22" s="119" t="s">
        <v>110</v>
      </c>
      <c r="H22" s="120" t="s">
        <v>111</v>
      </c>
      <c r="J22" s="118" t="s">
        <v>9</v>
      </c>
      <c r="K22" s="119"/>
      <c r="M22" s="119" t="s">
        <v>73</v>
      </c>
      <c r="N22" s="119"/>
    </row>
    <row r="24" spans="3:20" x14ac:dyDescent="0.2">
      <c r="C24" s="107"/>
      <c r="D24" s="108" t="s">
        <v>89</v>
      </c>
      <c r="E24" s="108" t="s">
        <v>90</v>
      </c>
      <c r="F24" s="109" t="s">
        <v>73</v>
      </c>
      <c r="G24" s="108" t="s">
        <v>91</v>
      </c>
      <c r="H24" s="110" t="s">
        <v>92</v>
      </c>
      <c r="J24" s="107"/>
      <c r="K24" s="127" t="s">
        <v>94</v>
      </c>
      <c r="L24" s="127" t="s">
        <v>95</v>
      </c>
      <c r="M24" s="128" t="s">
        <v>73</v>
      </c>
      <c r="N24" s="127" t="s">
        <v>97</v>
      </c>
      <c r="O24" s="129" t="s">
        <v>96</v>
      </c>
    </row>
    <row r="25" spans="3:20" x14ac:dyDescent="0.2">
      <c r="C25" s="111" t="s">
        <v>0</v>
      </c>
      <c r="D25" s="112" t="s">
        <v>98</v>
      </c>
      <c r="E25" s="112" t="s">
        <v>99</v>
      </c>
      <c r="F25" s="112" t="s">
        <v>73</v>
      </c>
      <c r="G25" s="112" t="s">
        <v>101</v>
      </c>
      <c r="H25" s="113" t="s">
        <v>102</v>
      </c>
      <c r="J25" s="111" t="s">
        <v>0</v>
      </c>
      <c r="K25" s="112" t="s">
        <v>98</v>
      </c>
      <c r="L25" s="112" t="s">
        <v>99</v>
      </c>
      <c r="M25" s="112" t="s">
        <v>73</v>
      </c>
      <c r="N25" s="112" t="s">
        <v>182</v>
      </c>
      <c r="O25" s="113" t="s">
        <v>186</v>
      </c>
    </row>
    <row r="26" spans="3:20" x14ac:dyDescent="0.2">
      <c r="C26" s="111" t="s">
        <v>1</v>
      </c>
      <c r="D26" s="112" t="s">
        <v>100</v>
      </c>
      <c r="E26" s="112" t="s">
        <v>103</v>
      </c>
      <c r="F26" s="112" t="s">
        <v>73</v>
      </c>
      <c r="G26" s="112" t="s">
        <v>104</v>
      </c>
      <c r="H26" s="113" t="s">
        <v>105</v>
      </c>
      <c r="J26" s="111" t="s">
        <v>1</v>
      </c>
      <c r="K26" s="112" t="s">
        <v>100</v>
      </c>
      <c r="L26" s="112" t="s">
        <v>103</v>
      </c>
      <c r="M26" s="112" t="s">
        <v>73</v>
      </c>
      <c r="N26" s="112" t="s">
        <v>183</v>
      </c>
      <c r="O26" s="113" t="s">
        <v>187</v>
      </c>
    </row>
    <row r="27" spans="3:20" x14ac:dyDescent="0.2">
      <c r="C27" s="114" t="s">
        <v>93</v>
      </c>
      <c r="D27" s="115" t="s">
        <v>73</v>
      </c>
      <c r="E27" s="116" t="s">
        <v>73</v>
      </c>
      <c r="F27" s="116" t="s">
        <v>73</v>
      </c>
      <c r="G27" s="112" t="s">
        <v>112</v>
      </c>
      <c r="H27" s="113" t="s">
        <v>107</v>
      </c>
      <c r="J27" s="114" t="s">
        <v>93</v>
      </c>
      <c r="K27" s="115" t="s">
        <v>73</v>
      </c>
      <c r="L27" s="116" t="s">
        <v>73</v>
      </c>
      <c r="M27" s="116" t="s">
        <v>73</v>
      </c>
      <c r="N27" s="112" t="s">
        <v>184</v>
      </c>
      <c r="O27" s="113" t="s">
        <v>188</v>
      </c>
    </row>
    <row r="28" spans="3:20" x14ac:dyDescent="0.2">
      <c r="C28" s="117" t="s">
        <v>73</v>
      </c>
      <c r="D28" s="115" t="s">
        <v>73</v>
      </c>
      <c r="E28" s="116" t="s">
        <v>73</v>
      </c>
      <c r="F28" s="116" t="s">
        <v>73</v>
      </c>
      <c r="G28" s="112" t="s">
        <v>73</v>
      </c>
      <c r="H28" s="113" t="s">
        <v>73</v>
      </c>
      <c r="J28" s="117" t="s">
        <v>73</v>
      </c>
      <c r="K28" s="115" t="s">
        <v>73</v>
      </c>
      <c r="L28" s="116" t="s">
        <v>73</v>
      </c>
      <c r="M28" s="116" t="s">
        <v>73</v>
      </c>
      <c r="N28" s="112" t="s">
        <v>73</v>
      </c>
      <c r="O28" s="113" t="s">
        <v>73</v>
      </c>
    </row>
    <row r="29" spans="3:20" x14ac:dyDescent="0.2">
      <c r="C29" s="118" t="s">
        <v>74</v>
      </c>
      <c r="D29" s="119" t="s">
        <v>117</v>
      </c>
      <c r="E29" s="119" t="s">
        <v>116</v>
      </c>
      <c r="F29" s="119" t="s">
        <v>73</v>
      </c>
      <c r="G29" s="119" t="s">
        <v>115</v>
      </c>
      <c r="H29" s="120" t="s">
        <v>113</v>
      </c>
      <c r="J29" s="118" t="s">
        <v>74</v>
      </c>
      <c r="K29" s="119" t="s">
        <v>117</v>
      </c>
      <c r="L29" s="119" t="s">
        <v>116</v>
      </c>
      <c r="M29" s="119" t="s">
        <v>73</v>
      </c>
      <c r="N29" s="119" t="s">
        <v>185</v>
      </c>
      <c r="O29" s="120" t="s">
        <v>189</v>
      </c>
    </row>
    <row r="31" spans="3:20" x14ac:dyDescent="0.2">
      <c r="C31" s="130"/>
      <c r="D31" s="131" t="s">
        <v>94</v>
      </c>
      <c r="E31" s="131" t="s">
        <v>95</v>
      </c>
      <c r="F31" s="131" t="s">
        <v>73</v>
      </c>
      <c r="G31" s="131" t="s">
        <v>97</v>
      </c>
      <c r="H31" s="143" t="s">
        <v>96</v>
      </c>
      <c r="K31" s="218" t="s">
        <v>67</v>
      </c>
      <c r="L31" s="219"/>
      <c r="M31" s="219"/>
      <c r="N31" s="219"/>
      <c r="O31" s="220"/>
      <c r="P31" s="218" t="s">
        <v>66</v>
      </c>
      <c r="Q31" s="219"/>
      <c r="R31" s="219"/>
      <c r="S31" s="219"/>
      <c r="T31" s="219"/>
    </row>
    <row r="32" spans="3:20" x14ac:dyDescent="0.2">
      <c r="C32" s="132" t="s">
        <v>0</v>
      </c>
      <c r="D32" s="133"/>
      <c r="E32" s="133"/>
      <c r="F32" s="134" t="s">
        <v>73</v>
      </c>
      <c r="G32" s="133"/>
      <c r="H32" s="135"/>
      <c r="J32" s="107"/>
      <c r="K32" s="127" t="s">
        <v>94</v>
      </c>
      <c r="L32" s="127" t="s">
        <v>95</v>
      </c>
      <c r="M32" s="128" t="s">
        <v>73</v>
      </c>
      <c r="N32" s="127" t="s">
        <v>97</v>
      </c>
      <c r="O32" s="129" t="s">
        <v>96</v>
      </c>
      <c r="P32" s="127" t="s">
        <v>94</v>
      </c>
      <c r="Q32" s="127" t="s">
        <v>95</v>
      </c>
      <c r="R32" s="128" t="s">
        <v>73</v>
      </c>
      <c r="S32" s="127" t="s">
        <v>97</v>
      </c>
      <c r="T32" s="129" t="s">
        <v>96</v>
      </c>
    </row>
    <row r="33" spans="3:20" x14ac:dyDescent="0.2">
      <c r="C33" s="132" t="s">
        <v>1</v>
      </c>
      <c r="D33" s="133"/>
      <c r="E33" s="133"/>
      <c r="F33" s="134" t="s">
        <v>73</v>
      </c>
      <c r="G33" s="133"/>
      <c r="H33" s="135"/>
      <c r="J33" s="111" t="s">
        <v>0</v>
      </c>
      <c r="K33" s="112" t="s">
        <v>192</v>
      </c>
      <c r="L33" s="112" t="s">
        <v>195</v>
      </c>
      <c r="M33" s="112" t="s">
        <v>73</v>
      </c>
      <c r="N33" s="112" t="s">
        <v>198</v>
      </c>
      <c r="O33" s="113" t="s">
        <v>202</v>
      </c>
      <c r="P33" s="112" t="s">
        <v>192</v>
      </c>
      <c r="Q33" s="112" t="s">
        <v>195</v>
      </c>
      <c r="R33" s="112" t="s">
        <v>73</v>
      </c>
      <c r="S33" s="112" t="s">
        <v>198</v>
      </c>
      <c r="T33" s="113" t="s">
        <v>202</v>
      </c>
    </row>
    <row r="34" spans="3:20" x14ac:dyDescent="0.2">
      <c r="C34" s="132" t="s">
        <v>93</v>
      </c>
      <c r="D34" s="136" t="s">
        <v>73</v>
      </c>
      <c r="E34" s="134" t="s">
        <v>73</v>
      </c>
      <c r="F34" s="134" t="s">
        <v>73</v>
      </c>
      <c r="G34" s="133"/>
      <c r="H34" s="135"/>
      <c r="J34" s="111" t="s">
        <v>1</v>
      </c>
      <c r="K34" s="112" t="s">
        <v>193</v>
      </c>
      <c r="L34" s="112" t="s">
        <v>196</v>
      </c>
      <c r="M34" s="112" t="s">
        <v>73</v>
      </c>
      <c r="N34" s="112" t="s">
        <v>199</v>
      </c>
      <c r="O34" s="113" t="s">
        <v>203</v>
      </c>
      <c r="P34" s="112" t="s">
        <v>193</v>
      </c>
      <c r="Q34" s="112" t="s">
        <v>196</v>
      </c>
      <c r="R34" s="112" t="s">
        <v>73</v>
      </c>
      <c r="S34" s="112" t="s">
        <v>199</v>
      </c>
      <c r="T34" s="113" t="s">
        <v>203</v>
      </c>
    </row>
    <row r="35" spans="3:20" x14ac:dyDescent="0.2">
      <c r="C35" s="137" t="s">
        <v>73</v>
      </c>
      <c r="D35" s="136" t="s">
        <v>73</v>
      </c>
      <c r="E35" s="134" t="s">
        <v>73</v>
      </c>
      <c r="F35" s="134" t="s">
        <v>73</v>
      </c>
      <c r="G35" s="134" t="s">
        <v>73</v>
      </c>
      <c r="H35" s="138" t="s">
        <v>73</v>
      </c>
      <c r="J35" s="114" t="s">
        <v>93</v>
      </c>
      <c r="K35" s="115" t="s">
        <v>73</v>
      </c>
      <c r="L35" s="116" t="s">
        <v>73</v>
      </c>
      <c r="M35" s="116" t="s">
        <v>73</v>
      </c>
      <c r="N35" s="112" t="s">
        <v>200</v>
      </c>
      <c r="O35" s="113" t="s">
        <v>204</v>
      </c>
      <c r="P35" s="115" t="s">
        <v>73</v>
      </c>
      <c r="Q35" s="116" t="s">
        <v>73</v>
      </c>
      <c r="R35" s="116" t="s">
        <v>73</v>
      </c>
      <c r="S35" s="112" t="s">
        <v>200</v>
      </c>
      <c r="T35" s="113" t="s">
        <v>204</v>
      </c>
    </row>
    <row r="36" spans="3:20" x14ac:dyDescent="0.2">
      <c r="C36" s="139" t="s">
        <v>74</v>
      </c>
      <c r="D36" s="140"/>
      <c r="E36" s="140"/>
      <c r="F36" s="141" t="s">
        <v>73</v>
      </c>
      <c r="G36" s="140"/>
      <c r="H36" s="142"/>
      <c r="J36" s="117" t="s">
        <v>73</v>
      </c>
      <c r="K36" s="115" t="s">
        <v>73</v>
      </c>
      <c r="L36" s="116" t="s">
        <v>73</v>
      </c>
      <c r="M36" s="116" t="s">
        <v>73</v>
      </c>
      <c r="N36" s="112" t="s">
        <v>73</v>
      </c>
      <c r="O36" s="113" t="s">
        <v>73</v>
      </c>
      <c r="P36" s="115" t="s">
        <v>73</v>
      </c>
      <c r="Q36" s="116" t="s">
        <v>73</v>
      </c>
      <c r="R36" s="116" t="s">
        <v>73</v>
      </c>
      <c r="S36" s="112" t="s">
        <v>73</v>
      </c>
      <c r="T36" s="113" t="s">
        <v>73</v>
      </c>
    </row>
    <row r="37" spans="3:20" x14ac:dyDescent="0.2">
      <c r="J37" s="118" t="s">
        <v>74</v>
      </c>
      <c r="K37" s="119" t="s">
        <v>194</v>
      </c>
      <c r="L37" s="119" t="s">
        <v>197</v>
      </c>
      <c r="M37" s="119" t="s">
        <v>73</v>
      </c>
      <c r="N37" s="119" t="s">
        <v>201</v>
      </c>
      <c r="O37" s="120" t="s">
        <v>205</v>
      </c>
      <c r="P37" s="119" t="s">
        <v>194</v>
      </c>
      <c r="Q37" s="119" t="s">
        <v>197</v>
      </c>
      <c r="R37" s="119" t="s">
        <v>73</v>
      </c>
      <c r="S37" s="119" t="s">
        <v>201</v>
      </c>
      <c r="T37" s="120" t="s">
        <v>205</v>
      </c>
    </row>
  </sheetData>
  <mergeCells count="2">
    <mergeCell ref="K31:O31"/>
    <mergeCell ref="P31:T31"/>
  </mergeCells>
  <pageMargins left="0.7" right="0.7" top="0.75" bottom="0.75" header="0.3" footer="0.3"/>
  <pageSetup paperSize="9" orientation="portrait" verticalDpi="0"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;57=0O  =03@C7:0     � � �  �  �  �  � � � � � � � � � ,""x " -""x "y " � � � "r / " "v / " � �  =   "�/ " � � � � � �/ 2 � "N / " � � � � � � � � � � � � �� � � � �  =   � � "�/ " � �  �  �  �  �  �  � � � � � � � �  =   � � � � � � � �  � � � � � � � �  � � � � �,   � � � � � �  =   "m / " � � �  =   �/ ��  � ��  � � � � � "m / " � � � "m / " +" +" +" "p / " �  �  �  +" � � � � � � � � �  =   �l / l �  � �  � � � � � � � �  =   �V / V �  � �  � � �  =   ��/ � �� � �_ s / � � � �_ s / � � � +"  r � �   " �  +"  r � �   " �  �  �  � � � � � � � � � � � � � �  =   �/ � � � ��  ��  ��  b b b b b b b "  p b  q ' b b b � � � �e �e �e � � � " "T ) e � � � " "T ) e � � � " " � � � " " � � � � � � "  T c c +"F   " � � � � � � � � "p / " � � � � � � � � � �  o f           �  �  [�  [�  [�  [�  [�  �� c �  ��  �  [ [ [ [c [c [c  =   [/ [�  [ [�  [�  [�  x[ x[ x[ � � � � � � ��  ��  ��  ��  ��  � � � � �c �c �c  =   �/ ��  � ��  ��  ��  ��  ��  E E E x x � � � � � � � � � � � x x x  =   xd  -   xb xd xb , , � � , � � � � � � , , � � � � � � � � � � � � � � � � , , �v l / � � � � �p / � � ��T / � � � � � � � � �   � � � � � � � � � �� �� �� � � � � � � � � � � �     �� �  =   "( 1 / �) ( "�/ " �   " � �   �   " � �   � � � � � �/ ( � � � �   �/ ( � � �   �� � �   �� �  /   �� � � � �� � � } } } �  �  ��  ��  ��  �  �  �  �  �  {  �  �  � � �( � � � �,   � � � } } } } } } },   } } } }  ( } }  ( } }  ( } }  ( } � �/ d � � � � � �  �  �  � � �  �  �  �t ( E �  �  � � � � � � � � �  =   �_ a / � � � �  =   �_ r / � � � �  =   �_ t / � � � � " �  ( � � � � " �  ( � � � � �_ n / � � � �( � �_ �( � �_ �( � �/ � � � � � � �/ � � � � � �   � � � �_ �( � �)   d � �_ �( � � � � �_ v / � � � � � � � � �t ( � � � � � �  � � � � � � � � � �� �� ��( � �  ( � �( � � ��( � ��( �) x ( �)   d � ��( �) y ( �)   d � ��( �) z ( �)   d � � � � � � � � � � � � � � � � � � � � � � � � � � � � �   � � � � � � � � � � � �  T t  �( � � � �{ � T {  �( � � � �{ � T {  � �, y �, z � �, y �, z � � � � � � � � � �� �� �  ( � �  ( � �  ( � �  ( � �  ( � � � �_ �( � � �_ �( � � � � � � d" � � � � � � � � � � � � � � � � "�/ " � � �                            M  S T    E  S T   � � � {  {  {  t  {  {  &! &! {  {  { t  {  {  {  { � � m {  {  {  {  {  {  {  {  {  {  { � � m {  { � � m {  { � � K { t  {  {  {  {  {  �  �  �  �  {  " {  {  � � � � � � {  {  " H" u  H" H" H" u  H" {  t  {  {  &! &! &! &! { � w  {  {  { � y  {  {  {  { t  {  {  {  { � � m {  {  {  {  {  {  {  {  {  {  { � � m {  { � � m {  { � � K { t  H" {  {  {  {  {  {  {  �  {  " � p  p  p  p ) t  p ) u  p ) v  p ) w  p ) x  
</file>

<file path=customXml/item2.xml>�� >;57=0O  =03@C7:0     � � �  �  �  �  � � � � � � � � � ,""x " -""x "y " � � � "r / " "v / " � �  =   "�/ " � � � � � �/ 2 � "N / " � � � � � � � � � � � � �� � � � �  =   � � "�/ " � �  �  �  �  �  �  � � � � � � � �  =   � � � � � � � �  � � � � � � � �  � � � � �,   � � � � � �  =   "m / " � � �  =   �/ ��  � ��  � � � � � "m / " � � � "m / " +" +" +" "p / " �  �  �  +" � � � � � � � � �  =   �l / l �  � �  � � � � � � � �  =   �V / V �  � �  � � �  =   ��/ � �� � �_ s / � � � �_ s / � � � +"  r � �   " �  +"  r � �   " �  �  �  � � � � � � � � � � � � � �  =   �/ � � � ��  ��  ��  b b b b b b b "  p b  q ' b b b � � � �e �e �e � � � " "T ) e � � � " "T ) e � � � " " � � � " " � � � � � � "  T c c +"F   " � � � � � � � � "p / " � � � � � � � � � �  o f           �  �  [�  [�  [�  [�  [�  �� c �  ��  �  [ [ [ [c [c [c  =   [/ [�  [ [�  [�  [�  x[ x[ x[ � � � � � � ��  ��  ��  ��  ��  � � � � �c �c �c  =   �/ ��  � ��  ��  ��  ��  ��  E E E x x � � � � � � � � � � � x x x  =   xd  -   xb xd xb , , � � , � � � � � � , , � � � � � � � � � � � � � � � � , , �v l / � � � � �p / � � ��T / � � � � � � � � �   � � � � � � � � � �� �� �� � � � � � � � � � � �     �� �  =   "( 1 / �) ( "�/ " �   " � �   �   " � �   � � � � � �/ ( � � � �   �/ ( � � �   �� � �   �� �  /   �� � � � �� � � } } } �  �  ��  ��  ��  �  �  �  �  �  {  �  �  � � �( � � � �,   � � � } } } } } } },   } } } }  ( } }  ( } }  ( } }  ( } � �/ d � � � � � �  �  �  � � �  �  �  �t ( E �  �  � � � � � � � � �  =   �_ a / � � � �  =   �_ r / � � � �  =   �_ t / � � � � " �  ( � � � � " �  ( � � � � �_ n / � � � �( � �_ �( � �_ �( � �/ � � � � � � �/ � � � � � �   � � � �_ �( � �)   d � �_ �( � � � � �_ v / � � � � � � � � �t ( � � � � � �  � � � � � � � � � �� �� ��( � �  ( � �( � � ��( � ��( �) x ( �)   d � ��( �) y ( �)   d � ��( �) z ( �)   d � � � � � � � � � � � � � � � � � � � � � � � � � � � � �   � � � � � � � � � � � �  T t  �( � � � �{ � T {  �( � � � �{ � T {  � �, y �, z � �, y �, z � � � � � � � � � �� �� �  ( � �  ( � �  ( � �  ( � �  ( � � � �_ �( � � �_ �( � � � � � � d" � � � � � � � � � � � � � � � � "�/ " � � �                            M  S T    E  S T   � � � {  {  {  t  {  {  &! &! {  {  { t  {  {  {  { � � m {  {  {  {  {  {  {  {  {  {  { � � m {  { � � m {  { � � K { t  {  {  {  {  {  �  �  �  �  {  " {  {  � � � � � � {  {  " H" u  H" H" H" u  H" {  t  {  {  &! &! &! &! { � w  {  {  { � y  {  {  {  { t  {  {  {  { � � m {  {  {  {  {  {  {  {  {  {  { � � m {  { � � m {  { � � K { t  H" {  {  {  {  {  {  {  �  {  " � p  p  p  p ) t  p ) u  p ) v  p ) w  p ) x  
</file>

<file path=customXml/item3.xml>�� 
</file>

<file path=customXml/itemProps1.xml><?xml version="1.0" encoding="utf-8"?>
<ds:datastoreItem xmlns:ds="http://schemas.openxmlformats.org/officeDocument/2006/customXml" ds:itemID="{8F7B4549-FC05-4EE2-B4A4-B80D6C4C2D6C}">
  <ds:schemaRefs>
    <ds:schemaRef ds:uri="http://www.w3.org/2001/XMLSchema"/>
    <ds:schemaRef ds:uri="http://cdp4data.rheagroup.com"/>
  </ds:schemaRefs>
</ds:datastoreItem>
</file>

<file path=customXml/itemProps2.xml><?xml version="1.0" encoding="utf-8"?>
<ds:datastoreItem xmlns:ds="http://schemas.openxmlformats.org/officeDocument/2006/customXml" ds:itemID="{AAA6C0E4-2FA0-4964-9A5F-9D97A1CEF405}">
  <ds:schemaRefs>
    <ds:schemaRef ds:uri="http://www.w3.org/2001/XMLSchema"/>
    <ds:schemaRef ds:uri="http://cdp4data.rheagroup.com"/>
  </ds:schemaRefs>
</ds:datastoreItem>
</file>

<file path=customXml/itemProps3.xml><?xml version="1.0" encoding="utf-8"?>
<ds:datastoreItem xmlns:ds="http://schemas.openxmlformats.org/officeDocument/2006/customXml" ds:itemID="{1EB6AD0B-D0D6-493C-9A30-374C94497719}">
  <ds:schemaRefs>
    <ds:schemaRef ds:uri="http://www.w3.org/2001/XMLSchema"/>
    <ds:schemaRef ds:uri="http://cdp4session.rheagroup.com"/>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243</vt:i4>
      </vt:variant>
    </vt:vector>
  </HeadingPairs>
  <TitlesOfParts>
    <vt:vector size="250" baseType="lpstr">
      <vt:lpstr>option_1</vt:lpstr>
      <vt:lpstr>Parameters</vt:lpstr>
      <vt:lpstr>Input</vt:lpstr>
      <vt:lpstr>Process</vt:lpstr>
      <vt:lpstr>Output</vt:lpstr>
      <vt:lpstr> Interactive</vt:lpstr>
      <vt:lpstr>Additionals</vt:lpstr>
      <vt:lpstr>AD</vt:lpstr>
      <vt:lpstr>AD.AI</vt:lpstr>
      <vt:lpstr>AD.AI.II</vt:lpstr>
      <vt:lpstr>AD.CT</vt:lpstr>
      <vt:lpstr>AD.CT.II</vt:lpstr>
      <vt:lpstr>AD.EB</vt:lpstr>
      <vt:lpstr>AD.EB.II</vt:lpstr>
      <vt:lpstr>AD.ERI</vt:lpstr>
      <vt:lpstr>AD.ES</vt:lpstr>
      <vt:lpstr>AD.ES.II</vt:lpstr>
      <vt:lpstr>AD.FM</vt:lpstr>
      <vt:lpstr>AD.FRI</vt:lpstr>
      <vt:lpstr>AD.HRI</vt:lpstr>
      <vt:lpstr>AD.O</vt:lpstr>
      <vt:lpstr>AD.O.II</vt:lpstr>
      <vt:lpstr>AD.ORI</vt:lpstr>
      <vt:lpstr>AD.OTH</vt:lpstr>
      <vt:lpstr>AD.OTH.II</vt:lpstr>
      <vt:lpstr>AD.PRI</vt:lpstr>
      <vt:lpstr>AD.R</vt:lpstr>
      <vt:lpstr>AD.R.II</vt:lpstr>
      <vt:lpstr>AD.SRI</vt:lpstr>
      <vt:lpstr>AI</vt:lpstr>
      <vt:lpstr>AI.II</vt:lpstr>
      <vt:lpstr>CT</vt:lpstr>
      <vt:lpstr>CT.II</vt:lpstr>
      <vt:lpstr>EB</vt:lpstr>
      <vt:lpstr>EB.II</vt:lpstr>
      <vt:lpstr>ES</vt:lpstr>
      <vt:lpstr>ES.AI</vt:lpstr>
      <vt:lpstr>ES.AI.II</vt:lpstr>
      <vt:lpstr>ES.CT</vt:lpstr>
      <vt:lpstr>ES.CT.II</vt:lpstr>
      <vt:lpstr>ES.EB</vt:lpstr>
      <vt:lpstr>ES.EB.II</vt:lpstr>
      <vt:lpstr>ES.ERI</vt:lpstr>
      <vt:lpstr>ES.ES</vt:lpstr>
      <vt:lpstr>ES.ES.II</vt:lpstr>
      <vt:lpstr>ES.FM</vt:lpstr>
      <vt:lpstr>ES.FRI</vt:lpstr>
      <vt:lpstr>ES.HRI</vt:lpstr>
      <vt:lpstr>ES.II</vt:lpstr>
      <vt:lpstr>ES.O</vt:lpstr>
      <vt:lpstr>ES.O.II</vt:lpstr>
      <vt:lpstr>ES.ORI</vt:lpstr>
      <vt:lpstr>ES.OTH</vt:lpstr>
      <vt:lpstr>ES.OTH.II</vt:lpstr>
      <vt:lpstr>ES.PRI</vt:lpstr>
      <vt:lpstr>ES.R</vt:lpstr>
      <vt:lpstr>ES.R.II</vt:lpstr>
      <vt:lpstr>ES.SRI</vt:lpstr>
      <vt:lpstr>FG</vt:lpstr>
      <vt:lpstr>FG.AI</vt:lpstr>
      <vt:lpstr>FG.AI.II</vt:lpstr>
      <vt:lpstr>FG.CT</vt:lpstr>
      <vt:lpstr>FG.CT.II</vt:lpstr>
      <vt:lpstr>FG.EB</vt:lpstr>
      <vt:lpstr>FG.EB.II</vt:lpstr>
      <vt:lpstr>FG.ERI</vt:lpstr>
      <vt:lpstr>FG.ES</vt:lpstr>
      <vt:lpstr>FG.ES.II</vt:lpstr>
      <vt:lpstr>FG.FM</vt:lpstr>
      <vt:lpstr>FG.FRI</vt:lpstr>
      <vt:lpstr>FG.HRI</vt:lpstr>
      <vt:lpstr>FG.O</vt:lpstr>
      <vt:lpstr>FG.O.II</vt:lpstr>
      <vt:lpstr>FG.ORI</vt:lpstr>
      <vt:lpstr>FG.OTH</vt:lpstr>
      <vt:lpstr>FG.OTH.II</vt:lpstr>
      <vt:lpstr>FG.PRI</vt:lpstr>
      <vt:lpstr>FG.R</vt:lpstr>
      <vt:lpstr>FG.R.II</vt:lpstr>
      <vt:lpstr>FG.SRI</vt:lpstr>
      <vt:lpstr>FinDistrib</vt:lpstr>
      <vt:lpstr>FinDistrib.AD</vt:lpstr>
      <vt:lpstr>FinDistrib.AD.AI\II\\option_1</vt:lpstr>
      <vt:lpstr>FinDistrib.AD.AI\option_1</vt:lpstr>
      <vt:lpstr>FinDistrib.AD.CT\II\\option_1</vt:lpstr>
      <vt:lpstr>FinDistrib.AD.CT\option_1</vt:lpstr>
      <vt:lpstr>FinDistrib.AD.EB\II\\option_1</vt:lpstr>
      <vt:lpstr>FinDistrib.AD.EB\option_1</vt:lpstr>
      <vt:lpstr>FinDistrib.AD.ES\II\\option_1</vt:lpstr>
      <vt:lpstr>FinDistrib.AD.ES\option_1</vt:lpstr>
      <vt:lpstr>FinDistrib.AD.O\II\\option_1</vt:lpstr>
      <vt:lpstr>FinDistrib.AD.O\option_1</vt:lpstr>
      <vt:lpstr>FinDistrib.AD.OTH\II\\option_1</vt:lpstr>
      <vt:lpstr>FinDistrib.AD.OTH\option_1</vt:lpstr>
      <vt:lpstr>FinDistrib.AD.R\II\\option_1</vt:lpstr>
      <vt:lpstr>FinDistrib.AD.R\option_1</vt:lpstr>
      <vt:lpstr>FinDistrib.AD\ERI\\option_1</vt:lpstr>
      <vt:lpstr>FinDistrib.AD\FM\\option_1</vt:lpstr>
      <vt:lpstr>FinDistrib.AD\FRI\\option_1</vt:lpstr>
      <vt:lpstr>FinDistrib.AD\HRI\\option_1</vt:lpstr>
      <vt:lpstr>FinDistrib.AD\option_1</vt:lpstr>
      <vt:lpstr>FinDistrib.AD\ORI\\option_1</vt:lpstr>
      <vt:lpstr>FinDistrib.AD\PRI\\option_1</vt:lpstr>
      <vt:lpstr>FinDistrib.AD\SRI\\option_1</vt:lpstr>
      <vt:lpstr>FinDistrib.ES</vt:lpstr>
      <vt:lpstr>FinDistrib.ES.AI\II\\option_1</vt:lpstr>
      <vt:lpstr>FinDistrib.ES.AI\option_1</vt:lpstr>
      <vt:lpstr>FinDistrib.ES.CT\II\\option_1</vt:lpstr>
      <vt:lpstr>FinDistrib.ES.CT\option_1</vt:lpstr>
      <vt:lpstr>FinDistrib.ES.EB\II\\option_1</vt:lpstr>
      <vt:lpstr>FinDistrib.ES.EB\option_1</vt:lpstr>
      <vt:lpstr>FinDistrib.ES.ES\II\\option_1</vt:lpstr>
      <vt:lpstr>FinDistrib.ES.ES\option_1</vt:lpstr>
      <vt:lpstr>FinDistrib.ES.O\II\\option_1</vt:lpstr>
      <vt:lpstr>FinDistrib.ES.O\option_1</vt:lpstr>
      <vt:lpstr>FinDistrib.ES.OTH\II\\option_1</vt:lpstr>
      <vt:lpstr>FinDistrib.ES.OTH\option_1</vt:lpstr>
      <vt:lpstr>FinDistrib.ES.R\II\\option_1</vt:lpstr>
      <vt:lpstr>FinDistrib.ES.R\option_1</vt:lpstr>
      <vt:lpstr>FinDistrib.ES\ERI\\option_1</vt:lpstr>
      <vt:lpstr>FinDistrib.ES\FM\\option_1</vt:lpstr>
      <vt:lpstr>FinDistrib.ES\FRI\\option_1</vt:lpstr>
      <vt:lpstr>FinDistrib.ES\HRI\\option_1</vt:lpstr>
      <vt:lpstr>FinDistrib.ES\option_1</vt:lpstr>
      <vt:lpstr>FinDistrib.ES\ORI\\option_1</vt:lpstr>
      <vt:lpstr>FinDistrib.ES\PRI\\option_1</vt:lpstr>
      <vt:lpstr>FinDistrib.ES\SRI\\option_1</vt:lpstr>
      <vt:lpstr>FinDistrib.FG</vt:lpstr>
      <vt:lpstr>FinDistrib.FG.AI\II\\option_1</vt:lpstr>
      <vt:lpstr>FinDistrib.FG.AI\option_1</vt:lpstr>
      <vt:lpstr>FinDistrib.FG.CT\II\\option_1</vt:lpstr>
      <vt:lpstr>FinDistrib.FG.CT\option_1</vt:lpstr>
      <vt:lpstr>FinDistrib.FG.EB\II\\option_1</vt:lpstr>
      <vt:lpstr>FinDistrib.FG.EB\option_1</vt:lpstr>
      <vt:lpstr>FinDistrib.FG.ES\II\\option_1</vt:lpstr>
      <vt:lpstr>FinDistrib.FG.ES\option_1</vt:lpstr>
      <vt:lpstr>FinDistrib.FG.O\II\\option_1</vt:lpstr>
      <vt:lpstr>FinDistrib.FG.O\option_1</vt:lpstr>
      <vt:lpstr>FinDistrib.FG.OTH\II\\option_1</vt:lpstr>
      <vt:lpstr>FinDistrib.FG.OTH\option_1</vt:lpstr>
      <vt:lpstr>FinDistrib.FG.R\II\\option_1</vt:lpstr>
      <vt:lpstr>FinDistrib.FG.R\option_1</vt:lpstr>
      <vt:lpstr>FinDistrib.FG\ERI\\option_1</vt:lpstr>
      <vt:lpstr>FinDistrib.FG\FM\\option_1</vt:lpstr>
      <vt:lpstr>FinDistrib.FG\FRI\\option_1</vt:lpstr>
      <vt:lpstr>FinDistrib.FG\HRI\\option_1</vt:lpstr>
      <vt:lpstr>FinDistrib.FG\option_1</vt:lpstr>
      <vt:lpstr>FinDistrib.FG\ORI\\option_1</vt:lpstr>
      <vt:lpstr>FinDistrib.FG\PRI\\option_1</vt:lpstr>
      <vt:lpstr>FinDistrib.FG\SRI\\option_1</vt:lpstr>
      <vt:lpstr>FinDistrib.NT</vt:lpstr>
      <vt:lpstr>FinDistrib.NT.AI\II\\option_1</vt:lpstr>
      <vt:lpstr>FinDistrib.NT.AI\option_1</vt:lpstr>
      <vt:lpstr>FinDistrib.NT.CT\II\\option_1</vt:lpstr>
      <vt:lpstr>FinDistrib.NT.CT\option_1</vt:lpstr>
      <vt:lpstr>FinDistrib.NT.EB\II\\option_1</vt:lpstr>
      <vt:lpstr>FinDistrib.NT.EB\option_1</vt:lpstr>
      <vt:lpstr>FinDistrib.NT.ES\II\\option_1</vt:lpstr>
      <vt:lpstr>FinDistrib.NT.ES\option_1</vt:lpstr>
      <vt:lpstr>FinDistrib.NT.O\II\\option_1</vt:lpstr>
      <vt:lpstr>FinDistrib.NT.O\option_1</vt:lpstr>
      <vt:lpstr>FinDistrib.NT.OTH\II\\option_1</vt:lpstr>
      <vt:lpstr>FinDistrib.NT.OTH\option_1</vt:lpstr>
      <vt:lpstr>FinDistrib.NT.R\II\\option_1</vt:lpstr>
      <vt:lpstr>FinDistrib.NT.R\option_1</vt:lpstr>
      <vt:lpstr>FinDistrib.NT\ERI\\option_1</vt:lpstr>
      <vt:lpstr>FinDistrib.NT\FM\\option_1</vt:lpstr>
      <vt:lpstr>FinDistrib.NT\FRI\\option_1</vt:lpstr>
      <vt:lpstr>FinDistrib.NT\HRI\\option_1</vt:lpstr>
      <vt:lpstr>FinDistrib.NT\option_1</vt:lpstr>
      <vt:lpstr>FinDistrib.NT\ORI\\option_1</vt:lpstr>
      <vt:lpstr>FinDistrib.NT\PRI\\option_1</vt:lpstr>
      <vt:lpstr>FinDistrib.NT\SRI\\option_1</vt:lpstr>
      <vt:lpstr>FinDistrib.OC</vt:lpstr>
      <vt:lpstr>FinDistrib.OC.AI\II\\option_1</vt:lpstr>
      <vt:lpstr>FinDistrib.OC.AI\option_1</vt:lpstr>
      <vt:lpstr>FinDistrib.OC.CT\II\\option_1</vt:lpstr>
      <vt:lpstr>FinDistrib.OC.CT\option_1</vt:lpstr>
      <vt:lpstr>FinDistrib.OC.EB\II\\option_1</vt:lpstr>
      <vt:lpstr>FinDistrib.OC.EB\option_1</vt:lpstr>
      <vt:lpstr>FinDistrib.OC.ES\II\\option_1</vt:lpstr>
      <vt:lpstr>FinDistrib.OC.ES\option_1</vt:lpstr>
      <vt:lpstr>FinDistrib.OC.O\II\\option_1</vt:lpstr>
      <vt:lpstr>FinDistrib.OC.O\option_1</vt:lpstr>
      <vt:lpstr>FinDistrib.OC.OTH\II\\option_1</vt:lpstr>
      <vt:lpstr>FinDistrib.OC.OTH\option_1</vt:lpstr>
      <vt:lpstr>FinDistrib.OC.R\II\\option_1</vt:lpstr>
      <vt:lpstr>FinDistrib.OC.R\option_1</vt:lpstr>
      <vt:lpstr>FinDistrib.OC\ERI\\option_1</vt:lpstr>
      <vt:lpstr>FinDistrib.OC\FM\\option_1</vt:lpstr>
      <vt:lpstr>FinDistrib.OC\FRI\\option_1</vt:lpstr>
      <vt:lpstr>FinDistrib.OC\HRI\\option_1</vt:lpstr>
      <vt:lpstr>FinDistrib.OC\option_1</vt:lpstr>
      <vt:lpstr>FinDistrib.OC\ORI\\option_1</vt:lpstr>
      <vt:lpstr>FinDistrib.OC\PRI\\option_1</vt:lpstr>
      <vt:lpstr>FinDistrib.OC\SRI\\option_1</vt:lpstr>
      <vt:lpstr>FinDistrib\option_1</vt:lpstr>
      <vt:lpstr>Header</vt:lpstr>
      <vt:lpstr>NT</vt:lpstr>
      <vt:lpstr>NT.AI</vt:lpstr>
      <vt:lpstr>NT.AI.II</vt:lpstr>
      <vt:lpstr>NT.CT</vt:lpstr>
      <vt:lpstr>NT.CT.II</vt:lpstr>
      <vt:lpstr>NT.EB</vt:lpstr>
      <vt:lpstr>NT.EB.II</vt:lpstr>
      <vt:lpstr>NT.ERI</vt:lpstr>
      <vt:lpstr>NT.ES</vt:lpstr>
      <vt:lpstr>NT.ES.II</vt:lpstr>
      <vt:lpstr>NT.FM</vt:lpstr>
      <vt:lpstr>NT.FRI</vt:lpstr>
      <vt:lpstr>NT.HRI</vt:lpstr>
      <vt:lpstr>NT.O</vt:lpstr>
      <vt:lpstr>NT.O.II</vt:lpstr>
      <vt:lpstr>NT.ORI</vt:lpstr>
      <vt:lpstr>NT.OTH</vt:lpstr>
      <vt:lpstr>NT.OTH.II</vt:lpstr>
      <vt:lpstr>NT.PRI</vt:lpstr>
      <vt:lpstr>NT.R</vt:lpstr>
      <vt:lpstr>NT.R.II</vt:lpstr>
      <vt:lpstr>NT.SRI</vt:lpstr>
      <vt:lpstr>O</vt:lpstr>
      <vt:lpstr>O.II</vt:lpstr>
      <vt:lpstr>OC</vt:lpstr>
      <vt:lpstr>OC.AI</vt:lpstr>
      <vt:lpstr>OC.AI.II</vt:lpstr>
      <vt:lpstr>OC.CT</vt:lpstr>
      <vt:lpstr>OC.CT.II</vt:lpstr>
      <vt:lpstr>OC.EB</vt:lpstr>
      <vt:lpstr>OC.EB.II</vt:lpstr>
      <vt:lpstr>OC.ERI</vt:lpstr>
      <vt:lpstr>OC.ES</vt:lpstr>
      <vt:lpstr>OC.ES.II</vt:lpstr>
      <vt:lpstr>OC.FM</vt:lpstr>
      <vt:lpstr>OC.FRI</vt:lpstr>
      <vt:lpstr>OC.HRI</vt:lpstr>
      <vt:lpstr>OC.O</vt:lpstr>
      <vt:lpstr>OC.O.II</vt:lpstr>
      <vt:lpstr>OC.ORI</vt:lpstr>
      <vt:lpstr>OC.OTH</vt:lpstr>
      <vt:lpstr>OC.OTH.II</vt:lpstr>
      <vt:lpstr>OC.PRI</vt:lpstr>
      <vt:lpstr>OC.R</vt:lpstr>
      <vt:lpstr>OC.R.II</vt:lpstr>
      <vt:lpstr>OC.SRI</vt:lpstr>
      <vt:lpstr>Output!OLE_LINK1</vt:lpstr>
      <vt:lpstr>OTH</vt:lpstr>
      <vt:lpstr>OTH.II</vt:lpstr>
      <vt:lpstr>Parameters</vt:lpstr>
      <vt:lpstr>R_</vt:lpstr>
      <vt:lpstr>R.II</vt:lpstr>
    </vt:vector>
  </TitlesOfParts>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Microsoft Office User</cp:lastModifiedBy>
  <cp:lastPrinted>2018-12-06T10:33:52Z</cp:lastPrinted>
  <dcterms:created xsi:type="dcterms:W3CDTF">2018-12-01T03:16:20Z</dcterms:created>
  <dcterms:modified xsi:type="dcterms:W3CDTF">2019-04-10T15:58:57Z</dcterms:modified>
</cp:coreProperties>
</file>